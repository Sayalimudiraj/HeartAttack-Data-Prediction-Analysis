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95" firstSheet="9" activeTab="12"/>
  </bookViews>
  <sheets>
    <sheet name="Sheet1" sheetId="3" r:id="rId1"/>
    <sheet name="Sheet2" sheetId="4" r:id="rId2"/>
    <sheet name="Sheet3" sheetId="5" r:id="rId3"/>
    <sheet name="Sheet4" sheetId="6" r:id="rId4"/>
    <sheet name="Sheet5" sheetId="7" r:id="rId5"/>
    <sheet name="Sheet6" sheetId="8" r:id="rId6"/>
    <sheet name="Sheet7" sheetId="9" r:id="rId7"/>
    <sheet name="Sheet8" sheetId="14" r:id="rId8"/>
    <sheet name="Sheet9" sheetId="15" r:id="rId9"/>
    <sheet name="Sheet10" sheetId="16" r:id="rId10"/>
    <sheet name="Sheet11" sheetId="17" r:id="rId11"/>
    <sheet name="Data " sheetId="1" r:id="rId12"/>
    <sheet name="Dashboard" sheetId="19" r:id="rId13"/>
  </sheets>
  <definedNames>
    <definedName name="Slicer_Age_category">#N/A</definedName>
    <definedName name="Slicer_Smoking">#N/A</definedName>
    <definedName name="Slicer_Helper_Columns">#N/A</definedName>
    <definedName name="Slicer_Family_History">#N/A</definedName>
  </definedNames>
  <calcPr calcId="191029"/>
  <pivotCaches>
    <pivotCache cacheId="0" r:id="rId14"/>
  </pivotCaches>
  <extLst>
    <ext xmlns:x14="http://schemas.microsoft.com/office/spreadsheetml/2009/9/main" uri="{BBE1A952-AA13-448e-AADC-164F8A28A991}">
      <x14:slicerCaches>
        <x14:slicerCache r:id="rId18"/>
        <x14:slicerCache r:id="rId17"/>
        <x14:slicerCache r:id="rId16"/>
        <x14:slicerCache r:id="rId1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<sst xmlns="http://schemas.openxmlformats.org/spreadsheetml/2006/main" count="60" uniqueCount="41">
  <si>
    <t xml:space="preserve">total patients </t>
  </si>
  <si>
    <t>Count of Age</t>
  </si>
  <si>
    <t>Average Heart Risk Score</t>
  </si>
  <si>
    <t>Average of Heart_Risk_Score</t>
  </si>
  <si>
    <t>Average of Blood_Pressure</t>
  </si>
  <si>
    <t>Average of Cholesterol</t>
  </si>
  <si>
    <t>Row Labels</t>
  </si>
  <si>
    <t>High</t>
  </si>
  <si>
    <t>Low</t>
  </si>
  <si>
    <t>Grand Total</t>
  </si>
  <si>
    <t>Adult</t>
  </si>
  <si>
    <t>Senior Citizen</t>
  </si>
  <si>
    <t>Normal</t>
  </si>
  <si>
    <t>Obese</t>
  </si>
  <si>
    <t>Overweight</t>
  </si>
  <si>
    <t>Underweight</t>
  </si>
  <si>
    <t>Average Heart Risk Score by Age Category</t>
  </si>
  <si>
    <t>Sum of Heart_Risk_Score</t>
  </si>
  <si>
    <t>Age</t>
  </si>
  <si>
    <t xml:space="preserve">Age category </t>
  </si>
  <si>
    <t>Cholesterol</t>
  </si>
  <si>
    <t>Blood_Pressure</t>
  </si>
  <si>
    <t>Max_HeartRate</t>
  </si>
  <si>
    <t>BMI</t>
  </si>
  <si>
    <t>BMI Category</t>
  </si>
  <si>
    <t>Heart_Risk_Score</t>
  </si>
  <si>
    <t>Helper Columns</t>
  </si>
  <si>
    <t>Smoking</t>
  </si>
  <si>
    <t>Diabetes</t>
  </si>
  <si>
    <t>Exercise_Hours_Per_Week</t>
  </si>
  <si>
    <t>Family_History</t>
  </si>
  <si>
    <t>Stress_Level</t>
  </si>
  <si>
    <t>Column</t>
  </si>
  <si>
    <r>
      <rPr>
        <b/>
        <sz val="10"/>
        <color theme="1"/>
        <rFont val="Arial Unicode MS"/>
        <charset val="134"/>
      </rPr>
      <t>0</t>
    </r>
    <r>
      <rPr>
        <b/>
        <sz val="11"/>
        <color theme="1"/>
        <rFont val="Calibri"/>
        <charset val="134"/>
        <scheme val="minor"/>
      </rPr>
      <t xml:space="preserve"> means</t>
    </r>
  </si>
  <si>
    <r>
      <rPr>
        <b/>
        <sz val="10"/>
        <color theme="1"/>
        <rFont val="Arial Unicode MS"/>
        <charset val="134"/>
      </rPr>
      <t>1</t>
    </r>
    <r>
      <rPr>
        <b/>
        <sz val="11"/>
        <color theme="1"/>
        <rFont val="Calibri"/>
        <charset val="134"/>
        <scheme val="minor"/>
      </rPr>
      <t xml:space="preserve"> means</t>
    </r>
  </si>
  <si>
    <t>Non-Smoker</t>
  </si>
  <si>
    <t>Smoker</t>
  </si>
  <si>
    <t>No Diabetes</t>
  </si>
  <si>
    <t>No family history</t>
  </si>
  <si>
    <t>Family history present</t>
  </si>
  <si>
    <t>Heartattack Prediction Data Analysis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</si>
</sst>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Arial Unicode M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1" fontId="2" fillId="3" borderId="1" xfId="0" applyNumberFormat="1" applyFont="1" applyFill="1" applyBorder="1" applyAlignment="1">
      <alignment horizontal="center" vertical="top"/>
    </xf>
    <xf numFmtId="1" fontId="2" fillId="4" borderId="1" xfId="0" applyNumberFormat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0" fillId="4" borderId="0" xfId="0" applyFill="1"/>
    <xf numFmtId="2" fontId="2" fillId="3" borderId="1" xfId="0" applyNumberFormat="1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microsoft.com/office/2007/relationships/slicerCache" Target="slicerCaches/slicerCache4.xml"/><Relationship Id="rId17" Type="http://schemas.microsoft.com/office/2007/relationships/slicerCache" Target="slicerCaches/slicerCache3.xml"/><Relationship Id="rId16" Type="http://schemas.microsoft.com/office/2007/relationships/slicerCache" Target="slicerCaches/slicerCache2.xml"/><Relationship Id="rId15" Type="http://schemas.microsoft.com/office/2007/relationships/slicerCache" Target="slicerCaches/slicerCache1.xml"/><Relationship Id="rId14" Type="http://schemas.openxmlformats.org/officeDocument/2006/relationships/pivotCacheDefinition" Target="pivotCache/pivotCacheDefinition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heart_dataset.xlsx]Sheet6!PivotTable6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Heart Risk Distribution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Sheet6!$A$4:$A$6</c:f>
              <c:strCache>
                <c:ptCount val="2"/>
                <c:pt idx="0">
                  <c:v>High</c:v>
                </c:pt>
                <c:pt idx="1">
                  <c:v>Low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93</c:v>
                </c:pt>
                <c:pt idx="1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b40c44-9214-4dbb-9d86-5a232003eac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heart_dataset.xlsx]Sheet7!PivotTable7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Heart risk score by age catagory </a:t>
            </a:r>
            <a:endParaRPr lang="en-US"/>
          </a:p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217916666666667"/>
          <c:y val="0.046296296296296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Sheet7!$A$4:$A$6</c:f>
              <c:strCache>
                <c:ptCount val="2"/>
                <c:pt idx="0">
                  <c:v>Adult</c:v>
                </c:pt>
                <c:pt idx="1">
                  <c:v>Senior Citizen</c:v>
                </c:pt>
              </c:strCache>
            </c:strRef>
          </c:cat>
          <c:val>
            <c:numRef>
              <c:f>Sheet7!$B$4:$B$6</c:f>
              <c:numCache>
                <c:formatCode>General</c:formatCode>
                <c:ptCount val="2"/>
                <c:pt idx="0">
                  <c:v>148.545230769231</c:v>
                </c:pt>
                <c:pt idx="1">
                  <c:v>165.810285714286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9958128"/>
        <c:axId val="509962392"/>
      </c:lineChart>
      <c:catAx>
        <c:axId val="50995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9962392"/>
        <c:crosses val="autoZero"/>
        <c:auto val="1"/>
        <c:lblAlgn val="ctr"/>
        <c:lblOffset val="100"/>
        <c:noMultiLvlLbl val="0"/>
      </c:catAx>
      <c:valAx>
        <c:axId val="50996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995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7a0fe1-a2fe-497a-bc02-c9b72a7102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heart_dataset.xlsx]Sheet8!PivotTable1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Heart Risk Score by BMI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Sheet8!$A$4:$A$8</c:f>
              <c:strCache>
                <c:ptCount val="4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Sheet8!$B$4:$B$8</c:f>
              <c:numCache>
                <c:formatCode>0.00%</c:formatCode>
                <c:ptCount val="4"/>
                <c:pt idx="0">
                  <c:v>0.948635820928623</c:v>
                </c:pt>
                <c:pt idx="1">
                  <c:v>1.06014384843183</c:v>
                </c:pt>
                <c:pt idx="2">
                  <c:v>1.02313488110332</c:v>
                </c:pt>
                <c:pt idx="3">
                  <c:v>0.828314616917225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840456"/>
        <c:axId val="437831600"/>
      </c:barChart>
      <c:catAx>
        <c:axId val="437840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831600"/>
        <c:crosses val="autoZero"/>
        <c:auto val="1"/>
        <c:lblAlgn val="ctr"/>
        <c:lblOffset val="100"/>
        <c:noMultiLvlLbl val="0"/>
      </c:catAx>
      <c:valAx>
        <c:axId val="43783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84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d861d6-98bb-4140-a39a-1f0261837a1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heart_dataset.xlsx]Sheet9!PivotTable2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Heart Risk Score by Smoking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Sheet9!$A$4:$A$6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Sheet9!$B$4:$B$6</c:f>
              <c:numCache>
                <c:formatCode>General</c:formatCode>
                <c:ptCount val="2"/>
                <c:pt idx="0">
                  <c:v>156.932954545455</c:v>
                </c:pt>
                <c:pt idx="1">
                  <c:v>152.745535714286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833240"/>
        <c:axId val="437835536"/>
      </c:barChart>
      <c:catAx>
        <c:axId val="437833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835536"/>
        <c:crosses val="autoZero"/>
        <c:auto val="1"/>
        <c:lblAlgn val="ctr"/>
        <c:lblOffset val="100"/>
        <c:noMultiLvlLbl val="0"/>
      </c:catAx>
      <c:valAx>
        <c:axId val="43783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833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3c6fd5-9255-46d4-85f2-5551fd984b4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heart_dataset.xlsx]Sheet10!PivotTable3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Sheet10!$A$4:$A$6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Sheet10!$B$4:$B$6</c:f>
              <c:numCache>
                <c:formatCode>0.00%</c:formatCode>
                <c:ptCount val="2"/>
                <c:pt idx="0">
                  <c:v>1.00711245374803</c:v>
                </c:pt>
                <c:pt idx="1">
                  <c:v>0.990947786138872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19779016"/>
        <c:axId val="434267584"/>
      </c:lineChart>
      <c:catAx>
        <c:axId val="519779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267584"/>
        <c:crosses val="autoZero"/>
        <c:auto val="1"/>
        <c:lblAlgn val="ctr"/>
        <c:lblOffset val="100"/>
        <c:noMultiLvlLbl val="0"/>
      </c:catAx>
      <c:valAx>
        <c:axId val="43426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9779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259d8d-9db0-4d97-857d-44526b7e996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heart_dataset.xlsx]Sheet11!PivotTable4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Heart Risk Score by Exercise Hours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Sheet11!$A$4:$A$14</c:f>
              <c:strCach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Sheet11!$B$4:$B$14</c:f>
              <c:numCache>
                <c:formatCode>General</c:formatCode>
                <c:ptCount val="10"/>
                <c:pt idx="0">
                  <c:v>2688.18</c:v>
                </c:pt>
                <c:pt idx="1">
                  <c:v>1039.47</c:v>
                </c:pt>
                <c:pt idx="2">
                  <c:v>1561.33</c:v>
                </c:pt>
                <c:pt idx="3">
                  <c:v>2000.11</c:v>
                </c:pt>
                <c:pt idx="4">
                  <c:v>957.95</c:v>
                </c:pt>
                <c:pt idx="5">
                  <c:v>1210.47</c:v>
                </c:pt>
                <c:pt idx="6">
                  <c:v>2070.89</c:v>
                </c:pt>
                <c:pt idx="7">
                  <c:v>1323.77</c:v>
                </c:pt>
                <c:pt idx="8">
                  <c:v>1831.76</c:v>
                </c:pt>
                <c:pt idx="9">
                  <c:v>774.87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23287360"/>
        <c:axId val="523282768"/>
      </c:lineChart>
      <c:catAx>
        <c:axId val="52328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3282768"/>
        <c:crosses val="autoZero"/>
        <c:auto val="1"/>
        <c:lblAlgn val="ctr"/>
        <c:lblOffset val="100"/>
        <c:noMultiLvlLbl val="0"/>
      </c:catAx>
      <c:valAx>
        <c:axId val="52328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328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7b677a0-866d-44b1-bd3c-7d06cc73d7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heart_dataset.xlsx]Sheet6!PivotTable6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Heart Risk Distribution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Sheet6!$A$4:$A$6</c:f>
              <c:strCache>
                <c:ptCount val="2"/>
                <c:pt idx="0">
                  <c:v>High</c:v>
                </c:pt>
                <c:pt idx="1">
                  <c:v>Low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93</c:v>
                </c:pt>
                <c:pt idx="1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b40c44-9214-4dbb-9d86-5a232003eac0}"/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heart_dataset.xlsx]Sheet11!PivotTable4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Sum of Heart Score by Exercise Hours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Sheet11!$A$4:$A$14</c:f>
              <c:strCach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Sheet11!$B$4:$B$14</c:f>
              <c:numCache>
                <c:formatCode>General</c:formatCode>
                <c:ptCount val="10"/>
                <c:pt idx="0">
                  <c:v>2688.18</c:v>
                </c:pt>
                <c:pt idx="1">
                  <c:v>1039.47</c:v>
                </c:pt>
                <c:pt idx="2">
                  <c:v>1561.33</c:v>
                </c:pt>
                <c:pt idx="3">
                  <c:v>2000.11</c:v>
                </c:pt>
                <c:pt idx="4">
                  <c:v>957.95</c:v>
                </c:pt>
                <c:pt idx="5">
                  <c:v>1210.47</c:v>
                </c:pt>
                <c:pt idx="6">
                  <c:v>2070.89</c:v>
                </c:pt>
                <c:pt idx="7">
                  <c:v>1323.77</c:v>
                </c:pt>
                <c:pt idx="8">
                  <c:v>1831.76</c:v>
                </c:pt>
                <c:pt idx="9">
                  <c:v>774.87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23287360"/>
        <c:axId val="523282768"/>
      </c:lineChart>
      <c:catAx>
        <c:axId val="52328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3282768"/>
        <c:crosses val="autoZero"/>
        <c:auto val="1"/>
        <c:lblAlgn val="ctr"/>
        <c:lblOffset val="100"/>
        <c:noMultiLvlLbl val="0"/>
      </c:catAx>
      <c:valAx>
        <c:axId val="52328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328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7b677a0-866d-44b1-bd3c-7d06cc73d75a}"/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heart_dataset.xlsx]Sheet9!PivotTable2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Heart Risk Score by Smoking</a:t>
            </a:r>
            <a:endParaRPr lang="en-US"/>
          </a:p>
        </c:rich>
      </c:tx>
      <c:layout>
        <c:manualLayout>
          <c:xMode val="edge"/>
          <c:yMode val="edge"/>
          <c:x val="0.0643316040705071"/>
          <c:y val="0.12551345518417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Sheet9!$A$4:$A$6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Sheet9!$B$4:$B$6</c:f>
              <c:numCache>
                <c:formatCode>General</c:formatCode>
                <c:ptCount val="2"/>
                <c:pt idx="0">
                  <c:v>156.932954545455</c:v>
                </c:pt>
                <c:pt idx="1">
                  <c:v>152.745535714286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833240"/>
        <c:axId val="437835536"/>
      </c:barChart>
      <c:catAx>
        <c:axId val="437833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835536"/>
        <c:crosses val="autoZero"/>
        <c:auto val="1"/>
        <c:lblAlgn val="ctr"/>
        <c:lblOffset val="100"/>
        <c:noMultiLvlLbl val="0"/>
      </c:catAx>
      <c:valAx>
        <c:axId val="43783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833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3c6fd5-9255-46d4-85f2-5551fd984b4a}"/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heart_dataset.xlsx]Sheet10!PivotTable3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Heart Risk Score by Diabeties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Sheet10!$A$4:$A$6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Sheet10!$B$4:$B$6</c:f>
              <c:numCache>
                <c:formatCode>0.00%</c:formatCode>
                <c:ptCount val="2"/>
                <c:pt idx="0">
                  <c:v>1.00711245374803</c:v>
                </c:pt>
                <c:pt idx="1">
                  <c:v>0.990947786138872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19779016"/>
        <c:axId val="434267584"/>
      </c:lineChart>
      <c:catAx>
        <c:axId val="519779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267584"/>
        <c:crosses val="autoZero"/>
        <c:auto val="1"/>
        <c:lblAlgn val="ctr"/>
        <c:lblOffset val="100"/>
        <c:noMultiLvlLbl val="0"/>
      </c:catAx>
      <c:valAx>
        <c:axId val="43426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9779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259d8d-9db0-4d97-857d-44526b7e9960}"/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heart_dataset.xlsx]Sheet9!PivotTable2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Heart Risk Score by Smoking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Sheet9!$A$4:$A$6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Sheet9!$B$4:$B$6</c:f>
              <c:numCache>
                <c:formatCode>General</c:formatCode>
                <c:ptCount val="2"/>
                <c:pt idx="0">
                  <c:v>156.932954545455</c:v>
                </c:pt>
                <c:pt idx="1">
                  <c:v>152.745535714286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833240"/>
        <c:axId val="437835536"/>
      </c:barChart>
      <c:catAx>
        <c:axId val="437833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835536"/>
        <c:crosses val="autoZero"/>
        <c:auto val="1"/>
        <c:lblAlgn val="ctr"/>
        <c:lblOffset val="100"/>
        <c:noMultiLvlLbl val="0"/>
      </c:catAx>
      <c:valAx>
        <c:axId val="43783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833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3c6fd5-9255-46d4-85f2-5551fd984b4a}"/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heart_dataset.xlsx]Sheet8!PivotTable1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Heart Risk Score by BMI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Sheet8!$A$4:$A$8</c:f>
              <c:strCache>
                <c:ptCount val="4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Sheet8!$B$4:$B$8</c:f>
              <c:numCache>
                <c:formatCode>0.00%</c:formatCode>
                <c:ptCount val="4"/>
                <c:pt idx="0">
                  <c:v>0.948635820928623</c:v>
                </c:pt>
                <c:pt idx="1">
                  <c:v>1.06014384843183</c:v>
                </c:pt>
                <c:pt idx="2">
                  <c:v>1.02313488110332</c:v>
                </c:pt>
                <c:pt idx="3">
                  <c:v>0.828314616917225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840456"/>
        <c:axId val="437831600"/>
      </c:barChart>
      <c:catAx>
        <c:axId val="437840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831600"/>
        <c:crosses val="autoZero"/>
        <c:auto val="1"/>
        <c:lblAlgn val="ctr"/>
        <c:lblOffset val="100"/>
        <c:noMultiLvlLbl val="0"/>
      </c:catAx>
      <c:valAx>
        <c:axId val="43783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784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d861d6-98bb-4140-a39a-1f0261837a1f}"/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9525</xdr:colOff>
      <xdr:row>6</xdr:row>
      <xdr:rowOff>95250</xdr:rowOff>
    </xdr:from>
    <xdr:to>
      <xdr:col>10</xdr:col>
      <xdr:colOff>314325</xdr:colOff>
      <xdr:row>19</xdr:row>
      <xdr:rowOff>152400</xdr:rowOff>
    </xdr:to>
    <xdr:graphicFrame>
      <xdr:nvGraphicFramePr>
        <xdr:cNvPr id="2" name="Chart 1"/>
        <xdr:cNvGraphicFramePr/>
      </xdr:nvGraphicFramePr>
      <xdr:xfrm>
        <a:off x="2409825" y="1238250"/>
        <a:ext cx="4505325" cy="2533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1428750</xdr:colOff>
      <xdr:row>6</xdr:row>
      <xdr:rowOff>95250</xdr:rowOff>
    </xdr:from>
    <xdr:to>
      <xdr:col>8</xdr:col>
      <xdr:colOff>552450</xdr:colOff>
      <xdr:row>20</xdr:row>
      <xdr:rowOff>171450</xdr:rowOff>
    </xdr:to>
    <xdr:graphicFrame>
      <xdr:nvGraphicFramePr>
        <xdr:cNvPr id="2" name="Chart 1"/>
        <xdr:cNvGraphicFramePr/>
      </xdr:nvGraphicFramePr>
      <xdr:xfrm>
        <a:off x="2381250" y="1238250"/>
        <a:ext cx="46577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257175</xdr:colOff>
      <xdr:row>6</xdr:row>
      <xdr:rowOff>171449</xdr:rowOff>
    </xdr:from>
    <xdr:to>
      <xdr:col>9</xdr:col>
      <xdr:colOff>561975</xdr:colOff>
      <xdr:row>21</xdr:row>
      <xdr:rowOff>104774</xdr:rowOff>
    </xdr:to>
    <xdr:graphicFrame>
      <xdr:nvGraphicFramePr>
        <xdr:cNvPr id="2" name="Chart 1"/>
        <xdr:cNvGraphicFramePr/>
      </xdr:nvGraphicFramePr>
      <xdr:xfrm>
        <a:off x="3095625" y="1313815"/>
        <a:ext cx="4505325" cy="2790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1447800</xdr:colOff>
      <xdr:row>6</xdr:row>
      <xdr:rowOff>95250</xdr:rowOff>
    </xdr:from>
    <xdr:to>
      <xdr:col>8</xdr:col>
      <xdr:colOff>571500</xdr:colOff>
      <xdr:row>20</xdr:row>
      <xdr:rowOff>171450</xdr:rowOff>
    </xdr:to>
    <xdr:graphicFrame>
      <xdr:nvGraphicFramePr>
        <xdr:cNvPr id="2" name="Chart 1"/>
        <xdr:cNvGraphicFramePr/>
      </xdr:nvGraphicFramePr>
      <xdr:xfrm>
        <a:off x="2352675" y="1238250"/>
        <a:ext cx="46577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1447800</xdr:colOff>
      <xdr:row>6</xdr:row>
      <xdr:rowOff>95250</xdr:rowOff>
    </xdr:from>
    <xdr:to>
      <xdr:col>8</xdr:col>
      <xdr:colOff>571500</xdr:colOff>
      <xdr:row>20</xdr:row>
      <xdr:rowOff>171450</xdr:rowOff>
    </xdr:to>
    <xdr:graphicFrame>
      <xdr:nvGraphicFramePr>
        <xdr:cNvPr id="2" name="Chart 1"/>
        <xdr:cNvGraphicFramePr/>
      </xdr:nvGraphicFramePr>
      <xdr:xfrm>
        <a:off x="2352675" y="1238250"/>
        <a:ext cx="46577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57150</xdr:colOff>
      <xdr:row>5</xdr:row>
      <xdr:rowOff>123825</xdr:rowOff>
    </xdr:from>
    <xdr:to>
      <xdr:col>15</xdr:col>
      <xdr:colOff>76200</xdr:colOff>
      <xdr:row>20</xdr:row>
      <xdr:rowOff>9525</xdr:rowOff>
    </xdr:to>
    <xdr:graphicFrame>
      <xdr:nvGraphicFramePr>
        <xdr:cNvPr id="2" name="Chart 1"/>
        <xdr:cNvGraphicFramePr/>
      </xdr:nvGraphicFramePr>
      <xdr:xfrm>
        <a:off x="3381375" y="107632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313690</xdr:colOff>
      <xdr:row>6</xdr:row>
      <xdr:rowOff>100965</xdr:rowOff>
    </xdr:from>
    <xdr:to>
      <xdr:col>10</xdr:col>
      <xdr:colOff>71755</xdr:colOff>
      <xdr:row>16</xdr:row>
      <xdr:rowOff>64135</xdr:rowOff>
    </xdr:to>
    <xdr:graphicFrame>
      <xdr:nvGraphicFramePr>
        <xdr:cNvPr id="2" name="Chart 1"/>
        <xdr:cNvGraphicFramePr/>
      </xdr:nvGraphicFramePr>
      <xdr:xfrm>
        <a:off x="2142490" y="1243965"/>
        <a:ext cx="4025265" cy="18681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386080</xdr:colOff>
      <xdr:row>6</xdr:row>
      <xdr:rowOff>74930</xdr:rowOff>
    </xdr:from>
    <xdr:to>
      <xdr:col>17</xdr:col>
      <xdr:colOff>266700</xdr:colOff>
      <xdr:row>16</xdr:row>
      <xdr:rowOff>44450</xdr:rowOff>
    </xdr:to>
    <xdr:graphicFrame>
      <xdr:nvGraphicFramePr>
        <xdr:cNvPr id="3" name="Chart 2"/>
        <xdr:cNvGraphicFramePr/>
      </xdr:nvGraphicFramePr>
      <xdr:xfrm>
        <a:off x="6482080" y="1217930"/>
        <a:ext cx="4147820" cy="1874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499110</xdr:colOff>
      <xdr:row>6</xdr:row>
      <xdr:rowOff>87630</xdr:rowOff>
    </xdr:from>
    <xdr:to>
      <xdr:col>24</xdr:col>
      <xdr:colOff>556895</xdr:colOff>
      <xdr:row>15</xdr:row>
      <xdr:rowOff>164465</xdr:rowOff>
    </xdr:to>
    <xdr:graphicFrame>
      <xdr:nvGraphicFramePr>
        <xdr:cNvPr id="4" name="Chart 3"/>
        <xdr:cNvGraphicFramePr/>
      </xdr:nvGraphicFramePr>
      <xdr:xfrm>
        <a:off x="10862310" y="1230630"/>
        <a:ext cx="4324985" cy="1791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312420</xdr:colOff>
      <xdr:row>16</xdr:row>
      <xdr:rowOff>189865</xdr:rowOff>
    </xdr:from>
    <xdr:to>
      <xdr:col>10</xdr:col>
      <xdr:colOff>71755</xdr:colOff>
      <xdr:row>28</xdr:row>
      <xdr:rowOff>6985</xdr:rowOff>
    </xdr:to>
    <xdr:graphicFrame>
      <xdr:nvGraphicFramePr>
        <xdr:cNvPr id="5" name="Chart 4"/>
        <xdr:cNvGraphicFramePr/>
      </xdr:nvGraphicFramePr>
      <xdr:xfrm>
        <a:off x="2141220" y="3237865"/>
        <a:ext cx="4026535" cy="2103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387350</xdr:colOff>
      <xdr:row>16</xdr:row>
      <xdr:rowOff>163195</xdr:rowOff>
    </xdr:from>
    <xdr:to>
      <xdr:col>17</xdr:col>
      <xdr:colOff>281305</xdr:colOff>
      <xdr:row>28</xdr:row>
      <xdr:rowOff>10160</xdr:rowOff>
    </xdr:to>
    <xdr:graphicFrame>
      <xdr:nvGraphicFramePr>
        <xdr:cNvPr id="6" name="Chart 5"/>
        <xdr:cNvGraphicFramePr/>
      </xdr:nvGraphicFramePr>
      <xdr:xfrm>
        <a:off x="6483350" y="3211195"/>
        <a:ext cx="4161155" cy="2132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505460</xdr:colOff>
      <xdr:row>16</xdr:row>
      <xdr:rowOff>121285</xdr:rowOff>
    </xdr:from>
    <xdr:to>
      <xdr:col>24</xdr:col>
      <xdr:colOff>561340</xdr:colOff>
      <xdr:row>27</xdr:row>
      <xdr:rowOff>187960</xdr:rowOff>
    </xdr:to>
    <xdr:graphicFrame>
      <xdr:nvGraphicFramePr>
        <xdr:cNvPr id="7" name="Chart 6"/>
        <xdr:cNvGraphicFramePr/>
      </xdr:nvGraphicFramePr>
      <xdr:xfrm>
        <a:off x="10868660" y="3169285"/>
        <a:ext cx="4323080" cy="2162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323850</xdr:colOff>
      <xdr:row>2</xdr:row>
      <xdr:rowOff>104775</xdr:rowOff>
    </xdr:from>
    <xdr:to>
      <xdr:col>8</xdr:col>
      <xdr:colOff>244475</xdr:colOff>
      <xdr:row>5</xdr:row>
      <xdr:rowOff>142875</xdr:rowOff>
    </xdr:to>
    <xdr:sp>
      <xdr:nvSpPr>
        <xdr:cNvPr id="8" name="Text Box 7"/>
        <xdr:cNvSpPr txBox="1"/>
      </xdr:nvSpPr>
      <xdr:spPr>
        <a:xfrm>
          <a:off x="2152650" y="485775"/>
          <a:ext cx="2968625" cy="60960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/>
            <a:t>C</a:t>
          </a:r>
          <a:r>
            <a:rPr lang="en-US" sz="1400"/>
            <a:t>ount of Age</a:t>
          </a:r>
          <a:endParaRPr lang="en-US" sz="1400"/>
        </a:p>
        <a:p>
          <a:pPr algn="l"/>
          <a:r>
            <a:rPr lang="en-US" sz="1400"/>
            <a:t>                              100</a:t>
          </a:r>
          <a:endParaRPr lang="en-US" sz="1400"/>
        </a:p>
      </xdr:txBody>
    </xdr:sp>
    <xdr:clientData/>
  </xdr:twoCellAnchor>
  <xdr:twoCellAnchor>
    <xdr:from>
      <xdr:col>8</xdr:col>
      <xdr:colOff>602615</xdr:colOff>
      <xdr:row>2</xdr:row>
      <xdr:rowOff>140970</xdr:rowOff>
    </xdr:from>
    <xdr:to>
      <xdr:col>14</xdr:col>
      <xdr:colOff>33655</xdr:colOff>
      <xdr:row>5</xdr:row>
      <xdr:rowOff>123190</xdr:rowOff>
    </xdr:to>
    <xdr:sp>
      <xdr:nvSpPr>
        <xdr:cNvPr id="9" name="Text Box 8"/>
        <xdr:cNvSpPr txBox="1"/>
      </xdr:nvSpPr>
      <xdr:spPr>
        <a:xfrm>
          <a:off x="5479415" y="521970"/>
          <a:ext cx="3088640" cy="55372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/>
            <a:t>Average of Heart_Risk_Score</a:t>
          </a:r>
          <a:endParaRPr lang="en-US" sz="1400"/>
        </a:p>
        <a:p>
          <a:pPr algn="ctr"/>
          <a:r>
            <a:rPr lang="en-US" sz="1400"/>
            <a:t>  154.588</a:t>
          </a:r>
          <a:endParaRPr lang="en-US" sz="1400"/>
        </a:p>
        <a:p>
          <a:pPr algn="ctr"/>
          <a:endParaRPr lang="en-US" sz="1400"/>
        </a:p>
      </xdr:txBody>
    </xdr:sp>
    <xdr:clientData/>
  </xdr:twoCellAnchor>
  <xdr:twoCellAnchor>
    <xdr:from>
      <xdr:col>14</xdr:col>
      <xdr:colOff>436880</xdr:colOff>
      <xdr:row>2</xdr:row>
      <xdr:rowOff>84455</xdr:rowOff>
    </xdr:from>
    <xdr:to>
      <xdr:col>19</xdr:col>
      <xdr:colOff>384175</xdr:colOff>
      <xdr:row>5</xdr:row>
      <xdr:rowOff>115570</xdr:rowOff>
    </xdr:to>
    <xdr:sp>
      <xdr:nvSpPr>
        <xdr:cNvPr id="10" name="Text Box 9"/>
        <xdr:cNvSpPr txBox="1"/>
      </xdr:nvSpPr>
      <xdr:spPr>
        <a:xfrm>
          <a:off x="8971280" y="465455"/>
          <a:ext cx="2995295" cy="60261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/>
            <a:t>Average of Blood_Pressure</a:t>
          </a:r>
          <a:endParaRPr lang="en-US" sz="1400"/>
        </a:p>
        <a:p>
          <a:pPr algn="ctr"/>
          <a:r>
            <a:rPr lang="en-US" sz="1400"/>
            <a:t>131.02</a:t>
          </a:r>
          <a:endParaRPr lang="en-US" sz="1400"/>
        </a:p>
        <a:p>
          <a:pPr algn="ctr"/>
          <a:endParaRPr lang="en-US" sz="1400"/>
        </a:p>
      </xdr:txBody>
    </xdr:sp>
    <xdr:clientData/>
  </xdr:twoCellAnchor>
  <xdr:twoCellAnchor>
    <xdr:from>
      <xdr:col>20</xdr:col>
      <xdr:colOff>142875</xdr:colOff>
      <xdr:row>2</xdr:row>
      <xdr:rowOff>85090</xdr:rowOff>
    </xdr:from>
    <xdr:to>
      <xdr:col>24</xdr:col>
      <xdr:colOff>529590</xdr:colOff>
      <xdr:row>5</xdr:row>
      <xdr:rowOff>116205</xdr:rowOff>
    </xdr:to>
    <xdr:sp>
      <xdr:nvSpPr>
        <xdr:cNvPr id="11" name="Text Box 10"/>
        <xdr:cNvSpPr txBox="1"/>
      </xdr:nvSpPr>
      <xdr:spPr>
        <a:xfrm>
          <a:off x="12334875" y="466090"/>
          <a:ext cx="2825115" cy="60261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/>
            <a:t>Average of Cholesterol</a:t>
          </a:r>
          <a:endParaRPr lang="en-US" sz="1400"/>
        </a:p>
        <a:p>
          <a:pPr algn="ctr"/>
          <a:r>
            <a:rPr lang="en-US" sz="1400"/>
            <a:t>227.63</a:t>
          </a:r>
          <a:endParaRPr lang="en-US" sz="1400"/>
        </a:p>
        <a:p>
          <a:pPr algn="ctr"/>
          <a:endParaRPr lang="en-US" sz="1400"/>
        </a:p>
      </xdr:txBody>
    </xdr:sp>
    <xdr:clientData/>
  </xdr:twoCellAnchor>
  <xdr:twoCellAnchor editAs="oneCell">
    <xdr:from>
      <xdr:col>0</xdr:col>
      <xdr:colOff>93980</xdr:colOff>
      <xdr:row>3</xdr:row>
      <xdr:rowOff>7620</xdr:rowOff>
    </xdr:from>
    <xdr:to>
      <xdr:col>3</xdr:col>
      <xdr:colOff>93345</xdr:colOff>
      <xdr:row>8</xdr:row>
      <xdr:rowOff>96520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Age category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category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980" y="579120"/>
              <a:ext cx="1828165" cy="1041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106680</xdr:colOff>
      <xdr:row>9</xdr:row>
      <xdr:rowOff>77470</xdr:rowOff>
    </xdr:from>
    <xdr:to>
      <xdr:col>3</xdr:col>
      <xdr:colOff>106045</xdr:colOff>
      <xdr:row>14</xdr:row>
      <xdr:rowOff>191135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Smoking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mokin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680" y="1791970"/>
              <a:ext cx="1828165" cy="1066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106045</xdr:colOff>
      <xdr:row>15</xdr:row>
      <xdr:rowOff>125095</xdr:rowOff>
    </xdr:from>
    <xdr:to>
      <xdr:col>3</xdr:col>
      <xdr:colOff>106045</xdr:colOff>
      <xdr:row>20</xdr:row>
      <xdr:rowOff>178435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Helper Column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elper Column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045" y="2982595"/>
              <a:ext cx="1828800" cy="1005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74295</xdr:colOff>
      <xdr:row>21</xdr:row>
      <xdr:rowOff>158750</xdr:rowOff>
    </xdr:from>
    <xdr:to>
      <xdr:col>3</xdr:col>
      <xdr:colOff>99060</xdr:colOff>
      <xdr:row>27</xdr:row>
      <xdr:rowOff>93345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Family_Hist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mily_Hist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295" y="4159250"/>
              <a:ext cx="1853565" cy="10775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1.4862311343" refreshedBy="Admin" recordCount="100">
  <cacheSource type="worksheet">
    <worksheetSource name="Table2"/>
  </cacheSource>
  <cacheFields count="14">
    <cacheField name="Age" numFmtId="1">
      <sharedItems containsSemiMixedTypes="0" containsString="0" containsNumber="1" containsInteger="1" minValue="30" maxValue="79" count="46">
        <n v="68"/>
        <n v="58"/>
        <n v="44"/>
        <n v="72"/>
        <n v="37"/>
        <n v="50"/>
        <n v="48"/>
        <n v="52"/>
        <n v="40"/>
        <n v="53"/>
        <n v="65"/>
        <n v="69"/>
        <n v="32"/>
        <n v="51"/>
        <n v="31"/>
        <n v="73"/>
        <n v="59"/>
        <n v="67"/>
        <n v="62"/>
        <n v="41"/>
        <n v="54"/>
        <n v="78"/>
        <n v="56"/>
        <n v="71"/>
        <n v="57"/>
        <n v="45"/>
        <n v="76"/>
        <n v="66"/>
        <n v="36"/>
        <n v="38"/>
        <n v="47"/>
        <n v="33"/>
        <n v="43"/>
        <n v="79"/>
        <n v="55"/>
        <n v="49"/>
        <n v="64"/>
        <n v="46"/>
        <n v="35"/>
        <n v="63"/>
        <n v="39"/>
        <n v="60"/>
        <n v="77"/>
        <n v="74"/>
        <n v="70"/>
        <n v="30"/>
      </sharedItems>
    </cacheField>
    <cacheField name="Age category " numFmtId="1">
      <sharedItems count="2">
        <s v="Senior Citizen"/>
        <s v="Adult"/>
      </sharedItems>
    </cacheField>
    <cacheField name="Cholesterol" numFmtId="1">
      <sharedItems containsSemiMixedTypes="0" containsString="0" containsNumber="1" containsInteger="1" minValue="150" maxValue="296" count="71">
        <n v="158"/>
        <n v="237"/>
        <n v="278"/>
        <n v="285"/>
        <n v="212"/>
        <n v="288"/>
        <n v="230"/>
        <n v="182"/>
        <n v="272"/>
        <n v="154"/>
        <n v="190"/>
        <n v="177"/>
        <n v="284"/>
        <n v="221"/>
        <n v="161"/>
        <n v="197"/>
        <n v="211"/>
        <n v="186"/>
        <n v="248"/>
        <n v="253"/>
        <n v="184"/>
        <n v="250"/>
        <n v="280"/>
        <n v="150"/>
        <n v="291"/>
        <n v="252"/>
        <n v="176"/>
        <n v="286"/>
        <n v="164"/>
        <n v="239"/>
        <n v="191"/>
        <n v="273"/>
        <n v="245"/>
        <n v="201"/>
        <n v="281"/>
        <n v="292"/>
        <n v="178"/>
        <n v="185"/>
        <n v="162"/>
        <n v="220"/>
        <n v="235"/>
        <n v="215"/>
        <n v="194"/>
        <n v="283"/>
        <n v="257"/>
        <n v="193"/>
        <n v="233"/>
        <n v="179"/>
        <n v="224"/>
        <n v="277"/>
        <n v="241"/>
        <n v="270"/>
        <n v="265"/>
        <n v="152"/>
        <n v="200"/>
        <n v="208"/>
        <n v="267"/>
        <n v="262"/>
        <n v="188"/>
        <n v="279"/>
        <n v="151"/>
        <n v="203"/>
        <n v="236"/>
        <n v="296"/>
        <n v="275"/>
        <n v="202"/>
        <n v="217"/>
        <n v="294"/>
        <n v="187"/>
        <n v="173"/>
        <n v="218"/>
      </sharedItems>
    </cacheField>
    <cacheField name="Blood_Pressure" numFmtId="1">
      <sharedItems containsSemiMixedTypes="0" containsString="0" containsNumber="1" containsInteger="1" minValue="90" maxValue="179" count="60">
        <n v="159"/>
        <n v="175"/>
        <n v="100"/>
        <n v="105"/>
        <n v="162"/>
        <n v="148"/>
        <n v="169"/>
        <n v="92"/>
        <n v="109"/>
        <n v="125"/>
        <n v="108"/>
        <n v="179"/>
        <n v="156"/>
        <n v="160"/>
        <n v="141"/>
        <n v="122"/>
        <n v="129"/>
        <n v="128"/>
        <n v="171"/>
        <n v="90"/>
        <n v="146"/>
        <n v="178"/>
        <n v="139"/>
        <n v="112"/>
        <n v="120"/>
        <n v="131"/>
        <n v="96"/>
        <n v="149"/>
        <n v="91"/>
        <n v="137"/>
        <n v="101"/>
        <n v="158"/>
        <n v="126"/>
        <n v="121"/>
        <n v="98"/>
        <n v="113"/>
        <n v="143"/>
        <n v="164"/>
        <n v="161"/>
        <n v="127"/>
        <n v="173"/>
        <n v="114"/>
        <n v="107"/>
        <n v="155"/>
        <n v="124"/>
        <n v="150"/>
        <n v="130"/>
        <n v="157"/>
        <n v="103"/>
        <n v="110"/>
        <n v="97"/>
        <n v="106"/>
        <n v="165"/>
        <n v="111"/>
        <n v="119"/>
        <n v="140"/>
        <n v="116"/>
        <n v="117"/>
        <n v="153"/>
        <n v="93"/>
      </sharedItems>
    </cacheField>
    <cacheField name="Max_HeartRate" numFmtId="1">
      <sharedItems containsSemiMixedTypes="0" containsString="0" containsNumber="1" containsInteger="1" minValue="101" maxValue="198" count="62">
        <n v="134"/>
        <n v="163"/>
        <n v="148"/>
        <n v="116"/>
        <n v="143"/>
        <n v="191"/>
        <n v="129"/>
        <n v="192"/>
        <n v="145"/>
        <n v="105"/>
        <n v="198"/>
        <n v="136"/>
        <n v="123"/>
        <n v="152"/>
        <n v="194"/>
        <n v="159"/>
        <n v="196"/>
        <n v="162"/>
        <n v="184"/>
        <n v="131"/>
        <n v="186"/>
        <n v="132"/>
        <n v="166"/>
        <n v="117"/>
        <n v="124"/>
        <n v="153"/>
        <n v="157"/>
        <n v="146"/>
        <n v="185"/>
        <n v="122"/>
        <n v="165"/>
        <n v="126"/>
        <n v="101"/>
        <n v="189"/>
        <n v="108"/>
        <n v="142"/>
        <n v="147"/>
        <n v="138"/>
        <n v="141"/>
        <n v="125"/>
        <n v="149"/>
        <n v="112"/>
        <n v="106"/>
        <n v="156"/>
        <n v="135"/>
        <n v="144"/>
        <n v="119"/>
        <n v="164"/>
        <n v="107"/>
        <n v="115"/>
        <n v="113"/>
        <n v="175"/>
        <n v="114"/>
        <n v="197"/>
        <n v="150"/>
        <n v="161"/>
        <n v="121"/>
        <n v="151"/>
        <n v="169"/>
        <n v="104"/>
        <n v="167"/>
        <n v="195"/>
      </sharedItems>
    </cacheField>
    <cacheField name="BMI" numFmtId="1">
      <sharedItems containsSemiMixedTypes="0" containsString="0" containsNumber="1" minValue="18.2" maxValue="34.8" count="78">
        <n v="27"/>
        <n v="27.2"/>
        <n v="28.8"/>
        <n v="30.3"/>
        <n v="34.6"/>
        <n v="26.8"/>
        <n v="23.5"/>
        <n v="31.5"/>
        <n v="22.6"/>
        <n v="25.5"/>
        <n v="19.3"/>
        <n v="18.4"/>
        <n v="34.4"/>
        <n v="32.2"/>
        <n v="29.8"/>
        <n v="25"/>
        <n v="20.9"/>
        <n v="20.7"/>
        <n v="22.3"/>
        <n v="27.3"/>
        <n v="30.1"/>
        <n v="29.2"/>
        <n v="22.8"/>
        <n v="34.2"/>
        <n v="30.5"/>
        <n v="27.4"/>
        <n v="28.4"/>
        <n v="25.1"/>
        <n v="22.2"/>
        <n v="24.1"/>
        <n v="30.9"/>
        <n v="18.2"/>
        <n v="20"/>
        <n v="18.8"/>
        <n v="18.7"/>
        <n v="32.5"/>
        <n v="30"/>
        <n v="26.1"/>
        <n v="19.7"/>
        <n v="26.4"/>
        <n v="26"/>
        <n v="25.4"/>
        <n v="24.8"/>
        <n v="28.5"/>
        <n v="24.4"/>
        <n v="28.6"/>
        <n v="26.6"/>
        <n v="32.6"/>
        <n v="20.8"/>
        <n v="19.2"/>
        <n v="28.9"/>
        <n v="18.5"/>
        <n v="28"/>
        <n v="34"/>
        <n v="27.8"/>
        <n v="24.6"/>
        <n v="25.8"/>
        <n v="34.3"/>
        <n v="33.4"/>
        <n v="21.3"/>
        <n v="18.3"/>
        <n v="19.6"/>
        <n v="29.6"/>
        <n v="23.4"/>
        <n v="32.4"/>
        <n v="31.8"/>
        <n v="28.7"/>
        <n v="32.9"/>
        <n v="31.7"/>
        <n v="21"/>
        <n v="30.8"/>
        <n v="34.8"/>
        <n v="24.3"/>
        <n v="31.2"/>
        <n v="23.8"/>
        <n v="33.8"/>
        <n v="25.3"/>
        <n v="19.8"/>
      </sharedItems>
    </cacheField>
    <cacheField name="BMI Category" numFmtId="1">
      <sharedItems count="4">
        <s v="Overweight"/>
        <s v="Obese"/>
        <s v="Normal"/>
        <s v="Underweight"/>
      </sharedItems>
    </cacheField>
    <cacheField name="Heart_Risk_Score" numFmtId="2">
      <sharedItems containsSemiMixedTypes="0" containsString="0" containsNumber="1" minValue="46.19" maxValue="245.17" count="100">
        <n v="137.41"/>
        <n v="192.08"/>
        <n v="147.3"/>
        <n v="212.57"/>
        <n v="152.52"/>
        <n v="194.82"/>
        <n v="153.47"/>
        <n v="161.11"/>
        <n v="173.67"/>
        <n v="197.26"/>
        <n v="46.19"/>
        <n v="110.15"/>
        <n v="180.45"/>
        <n v="153.05"/>
        <n v="182.12"/>
        <n v="128.11"/>
        <n v="86.93"/>
        <n v="119.29"/>
        <n v="74.5"/>
        <n v="181.66"/>
        <n v="152.63"/>
        <n v="184.41"/>
        <n v="152.07"/>
        <n v="192.34"/>
        <n v="161.95"/>
        <n v="122.81"/>
        <n v="157.37"/>
        <n v="212.08"/>
        <n v="174.13"/>
        <n v="115.03"/>
        <n v="158.97"/>
        <n v="145.8"/>
        <n v="78.84"/>
        <n v="185.35"/>
        <n v="152.43"/>
        <n v="149.76"/>
        <n v="129.93"/>
        <n v="137.55"/>
        <n v="177.73"/>
        <n v="200.23"/>
        <n v="196.88"/>
        <n v="109.07"/>
        <n v="90.43"/>
        <n v="91.38"/>
        <n v="143"/>
        <n v="180.98"/>
        <n v="107.59"/>
        <n v="175.46"/>
        <n v="135.96"/>
        <n v="149.98"/>
        <n v="245.17"/>
        <n v="130.14"/>
        <n v="117.34"/>
        <n v="225.65"/>
        <n v="174.01"/>
        <n v="206.68"/>
        <n v="132.82"/>
        <n v="215.99"/>
        <n v="125.41"/>
        <n v="169.47"/>
        <n v="177.57"/>
        <n v="140.5"/>
        <n v="168.98"/>
        <n v="135"/>
        <n v="114.67"/>
        <n v="147.32"/>
        <n v="176.04"/>
        <n v="190.07"/>
        <n v="161.81"/>
        <n v="163.55"/>
        <n v="132.11"/>
        <n v="143.23"/>
        <n v="170.14"/>
        <n v="134.08"/>
        <n v="131.91"/>
        <n v="102.58"/>
        <n v="124.13"/>
        <n v="140.01"/>
        <n v="176.27"/>
        <n v="165.41"/>
        <n v="96.08"/>
        <n v="141.71"/>
        <n v="178.84"/>
        <n v="153.14"/>
        <n v="167.88"/>
        <n v="119.32"/>
        <n v="215.59"/>
        <n v="158.42"/>
        <n v="145.81"/>
        <n v="137.53"/>
        <n v="129.74"/>
        <n v="174.41"/>
        <n v="202.96"/>
        <n v="191.59"/>
        <n v="137.91"/>
        <n v="169.48"/>
        <n v="201.72"/>
        <n v="192.27"/>
        <n v="141.05"/>
        <n v="158.49"/>
      </sharedItems>
    </cacheField>
    <cacheField name="Helper Columns" numFmtId="2">
      <sharedItems count="2">
        <s v="High"/>
        <s v="Low"/>
      </sharedItems>
    </cacheField>
    <cacheField name="Smoking" numFmtId="1">
      <sharedItems containsSemiMixedTypes="0" containsString="0" containsNumber="1" containsInteger="1" minValue="0" maxValue="1" count="2">
        <n v="0"/>
        <n v="1"/>
      </sharedItems>
    </cacheField>
    <cacheField name="Diabetes" numFmtId="1">
      <sharedItems containsSemiMixedTypes="0" containsString="0" containsNumber="1" containsInteger="1" minValue="0" maxValue="1" count="2">
        <n v="0"/>
        <n v="1"/>
      </sharedItems>
    </cacheField>
    <cacheField name="Exercise_Hours_Per_Week" numFmtId="1">
      <sharedItems containsSemiMixedTypes="0" containsString="0" containsNumber="1" containsInteger="1" minValue="0" maxValue="9" count="10">
        <n v="6"/>
        <n v="0"/>
        <n v="3"/>
        <n v="4"/>
        <n v="2"/>
        <n v="5"/>
        <n v="1"/>
        <n v="9"/>
        <n v="8"/>
        <n v="7"/>
      </sharedItems>
    </cacheField>
    <cacheField name="Family_History" numFmtId="1">
      <sharedItems containsSemiMixedTypes="0" containsString="0" containsNumber="1" containsInteger="1" minValue="0" maxValue="1" count="2">
        <n v="1"/>
        <n v="0"/>
      </sharedItems>
    </cacheField>
    <cacheField name="Stress_Level" numFmtId="1">
      <sharedItems containsSemiMixedTypes="0" containsString="0" containsNumber="1" containsInteger="1" minValue="1" maxValue="10" count="10">
        <n v="1"/>
        <n v="5"/>
        <n v="3"/>
        <n v="4"/>
        <n v="6"/>
        <n v="9"/>
        <n v="8"/>
        <n v="7"/>
        <n v="2"/>
        <n v="1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0"/>
    <x v="1"/>
    <x v="1"/>
    <x v="1"/>
    <x v="1"/>
    <x v="0"/>
  </r>
  <r>
    <x v="2"/>
    <x v="1"/>
    <x v="2"/>
    <x v="2"/>
    <x v="2"/>
    <x v="2"/>
    <x v="0"/>
    <x v="2"/>
    <x v="0"/>
    <x v="0"/>
    <x v="1"/>
    <x v="2"/>
    <x v="1"/>
    <x v="1"/>
  </r>
  <r>
    <x v="3"/>
    <x v="0"/>
    <x v="3"/>
    <x v="3"/>
    <x v="3"/>
    <x v="3"/>
    <x v="1"/>
    <x v="3"/>
    <x v="0"/>
    <x v="0"/>
    <x v="1"/>
    <x v="2"/>
    <x v="0"/>
    <x v="2"/>
  </r>
  <r>
    <x v="4"/>
    <x v="1"/>
    <x v="4"/>
    <x v="4"/>
    <x v="4"/>
    <x v="4"/>
    <x v="1"/>
    <x v="4"/>
    <x v="0"/>
    <x v="0"/>
    <x v="1"/>
    <x v="3"/>
    <x v="0"/>
    <x v="3"/>
  </r>
  <r>
    <x v="5"/>
    <x v="1"/>
    <x v="5"/>
    <x v="5"/>
    <x v="5"/>
    <x v="5"/>
    <x v="0"/>
    <x v="5"/>
    <x v="0"/>
    <x v="1"/>
    <x v="1"/>
    <x v="0"/>
    <x v="1"/>
    <x v="2"/>
  </r>
  <r>
    <x v="0"/>
    <x v="0"/>
    <x v="6"/>
    <x v="0"/>
    <x v="6"/>
    <x v="6"/>
    <x v="2"/>
    <x v="6"/>
    <x v="0"/>
    <x v="0"/>
    <x v="1"/>
    <x v="0"/>
    <x v="1"/>
    <x v="0"/>
  </r>
  <r>
    <x v="6"/>
    <x v="1"/>
    <x v="3"/>
    <x v="6"/>
    <x v="7"/>
    <x v="7"/>
    <x v="1"/>
    <x v="7"/>
    <x v="0"/>
    <x v="0"/>
    <x v="1"/>
    <x v="2"/>
    <x v="0"/>
    <x v="0"/>
  </r>
  <r>
    <x v="7"/>
    <x v="1"/>
    <x v="7"/>
    <x v="7"/>
    <x v="8"/>
    <x v="8"/>
    <x v="2"/>
    <x v="8"/>
    <x v="0"/>
    <x v="0"/>
    <x v="1"/>
    <x v="0"/>
    <x v="0"/>
    <x v="1"/>
  </r>
  <r>
    <x v="8"/>
    <x v="1"/>
    <x v="8"/>
    <x v="8"/>
    <x v="9"/>
    <x v="9"/>
    <x v="0"/>
    <x v="9"/>
    <x v="0"/>
    <x v="1"/>
    <x v="0"/>
    <x v="4"/>
    <x v="0"/>
    <x v="4"/>
  </r>
  <r>
    <x v="8"/>
    <x v="1"/>
    <x v="9"/>
    <x v="5"/>
    <x v="10"/>
    <x v="10"/>
    <x v="2"/>
    <x v="10"/>
    <x v="1"/>
    <x v="0"/>
    <x v="1"/>
    <x v="5"/>
    <x v="0"/>
    <x v="2"/>
  </r>
  <r>
    <x v="9"/>
    <x v="1"/>
    <x v="10"/>
    <x v="9"/>
    <x v="11"/>
    <x v="11"/>
    <x v="3"/>
    <x v="11"/>
    <x v="0"/>
    <x v="0"/>
    <x v="0"/>
    <x v="6"/>
    <x v="1"/>
    <x v="5"/>
  </r>
  <r>
    <x v="10"/>
    <x v="0"/>
    <x v="11"/>
    <x v="10"/>
    <x v="12"/>
    <x v="12"/>
    <x v="1"/>
    <x v="12"/>
    <x v="0"/>
    <x v="0"/>
    <x v="1"/>
    <x v="7"/>
    <x v="0"/>
    <x v="1"/>
  </r>
  <r>
    <x v="11"/>
    <x v="0"/>
    <x v="12"/>
    <x v="11"/>
    <x v="7"/>
    <x v="13"/>
    <x v="1"/>
    <x v="13"/>
    <x v="0"/>
    <x v="0"/>
    <x v="1"/>
    <x v="8"/>
    <x v="0"/>
    <x v="6"/>
  </r>
  <r>
    <x v="9"/>
    <x v="1"/>
    <x v="13"/>
    <x v="12"/>
    <x v="8"/>
    <x v="14"/>
    <x v="0"/>
    <x v="14"/>
    <x v="0"/>
    <x v="1"/>
    <x v="0"/>
    <x v="3"/>
    <x v="1"/>
    <x v="0"/>
  </r>
  <r>
    <x v="12"/>
    <x v="1"/>
    <x v="14"/>
    <x v="10"/>
    <x v="13"/>
    <x v="15"/>
    <x v="0"/>
    <x v="15"/>
    <x v="0"/>
    <x v="0"/>
    <x v="1"/>
    <x v="5"/>
    <x v="0"/>
    <x v="1"/>
  </r>
  <r>
    <x v="13"/>
    <x v="1"/>
    <x v="7"/>
    <x v="8"/>
    <x v="14"/>
    <x v="16"/>
    <x v="2"/>
    <x v="16"/>
    <x v="1"/>
    <x v="1"/>
    <x v="0"/>
    <x v="2"/>
    <x v="1"/>
    <x v="2"/>
  </r>
  <r>
    <x v="14"/>
    <x v="1"/>
    <x v="15"/>
    <x v="13"/>
    <x v="10"/>
    <x v="17"/>
    <x v="2"/>
    <x v="17"/>
    <x v="0"/>
    <x v="1"/>
    <x v="1"/>
    <x v="7"/>
    <x v="0"/>
    <x v="0"/>
  </r>
  <r>
    <x v="9"/>
    <x v="1"/>
    <x v="16"/>
    <x v="14"/>
    <x v="15"/>
    <x v="18"/>
    <x v="2"/>
    <x v="18"/>
    <x v="1"/>
    <x v="1"/>
    <x v="1"/>
    <x v="0"/>
    <x v="0"/>
    <x v="3"/>
  </r>
  <r>
    <x v="15"/>
    <x v="0"/>
    <x v="17"/>
    <x v="15"/>
    <x v="16"/>
    <x v="19"/>
    <x v="0"/>
    <x v="19"/>
    <x v="0"/>
    <x v="0"/>
    <x v="0"/>
    <x v="8"/>
    <x v="0"/>
    <x v="1"/>
  </r>
  <r>
    <x v="16"/>
    <x v="1"/>
    <x v="18"/>
    <x v="16"/>
    <x v="17"/>
    <x v="20"/>
    <x v="1"/>
    <x v="20"/>
    <x v="0"/>
    <x v="1"/>
    <x v="1"/>
    <x v="0"/>
    <x v="1"/>
    <x v="7"/>
  </r>
  <r>
    <x v="17"/>
    <x v="0"/>
    <x v="19"/>
    <x v="17"/>
    <x v="18"/>
    <x v="21"/>
    <x v="0"/>
    <x v="21"/>
    <x v="0"/>
    <x v="0"/>
    <x v="0"/>
    <x v="1"/>
    <x v="1"/>
    <x v="0"/>
  </r>
  <r>
    <x v="14"/>
    <x v="1"/>
    <x v="20"/>
    <x v="18"/>
    <x v="19"/>
    <x v="22"/>
    <x v="2"/>
    <x v="22"/>
    <x v="0"/>
    <x v="1"/>
    <x v="1"/>
    <x v="1"/>
    <x v="0"/>
    <x v="2"/>
  </r>
  <r>
    <x v="5"/>
    <x v="1"/>
    <x v="21"/>
    <x v="19"/>
    <x v="20"/>
    <x v="23"/>
    <x v="1"/>
    <x v="23"/>
    <x v="0"/>
    <x v="1"/>
    <x v="0"/>
    <x v="8"/>
    <x v="1"/>
    <x v="8"/>
  </r>
  <r>
    <x v="18"/>
    <x v="0"/>
    <x v="22"/>
    <x v="2"/>
    <x v="21"/>
    <x v="24"/>
    <x v="1"/>
    <x v="24"/>
    <x v="0"/>
    <x v="1"/>
    <x v="0"/>
    <x v="8"/>
    <x v="1"/>
    <x v="5"/>
  </r>
  <r>
    <x v="19"/>
    <x v="1"/>
    <x v="23"/>
    <x v="20"/>
    <x v="22"/>
    <x v="25"/>
    <x v="0"/>
    <x v="25"/>
    <x v="0"/>
    <x v="1"/>
    <x v="1"/>
    <x v="2"/>
    <x v="1"/>
    <x v="9"/>
  </r>
  <r>
    <x v="13"/>
    <x v="1"/>
    <x v="9"/>
    <x v="21"/>
    <x v="23"/>
    <x v="26"/>
    <x v="0"/>
    <x v="26"/>
    <x v="0"/>
    <x v="1"/>
    <x v="1"/>
    <x v="8"/>
    <x v="1"/>
    <x v="4"/>
  </r>
  <r>
    <x v="15"/>
    <x v="0"/>
    <x v="24"/>
    <x v="22"/>
    <x v="24"/>
    <x v="27"/>
    <x v="0"/>
    <x v="27"/>
    <x v="0"/>
    <x v="1"/>
    <x v="0"/>
    <x v="4"/>
    <x v="1"/>
    <x v="9"/>
  </r>
  <r>
    <x v="20"/>
    <x v="1"/>
    <x v="25"/>
    <x v="23"/>
    <x v="14"/>
    <x v="28"/>
    <x v="2"/>
    <x v="28"/>
    <x v="0"/>
    <x v="1"/>
    <x v="1"/>
    <x v="0"/>
    <x v="1"/>
    <x v="2"/>
  </r>
  <r>
    <x v="21"/>
    <x v="0"/>
    <x v="26"/>
    <x v="24"/>
    <x v="25"/>
    <x v="29"/>
    <x v="2"/>
    <x v="29"/>
    <x v="0"/>
    <x v="1"/>
    <x v="1"/>
    <x v="5"/>
    <x v="0"/>
    <x v="6"/>
  </r>
  <r>
    <x v="22"/>
    <x v="1"/>
    <x v="27"/>
    <x v="25"/>
    <x v="26"/>
    <x v="30"/>
    <x v="1"/>
    <x v="30"/>
    <x v="0"/>
    <x v="0"/>
    <x v="1"/>
    <x v="9"/>
    <x v="0"/>
    <x v="6"/>
  </r>
  <r>
    <x v="23"/>
    <x v="0"/>
    <x v="28"/>
    <x v="26"/>
    <x v="22"/>
    <x v="31"/>
    <x v="3"/>
    <x v="31"/>
    <x v="0"/>
    <x v="0"/>
    <x v="0"/>
    <x v="8"/>
    <x v="1"/>
    <x v="8"/>
  </r>
  <r>
    <x v="24"/>
    <x v="1"/>
    <x v="29"/>
    <x v="3"/>
    <x v="8"/>
    <x v="32"/>
    <x v="2"/>
    <x v="32"/>
    <x v="1"/>
    <x v="1"/>
    <x v="0"/>
    <x v="3"/>
    <x v="0"/>
    <x v="4"/>
  </r>
  <r>
    <x v="25"/>
    <x v="1"/>
    <x v="30"/>
    <x v="11"/>
    <x v="12"/>
    <x v="33"/>
    <x v="2"/>
    <x v="33"/>
    <x v="0"/>
    <x v="1"/>
    <x v="0"/>
    <x v="1"/>
    <x v="0"/>
    <x v="7"/>
  </r>
  <r>
    <x v="2"/>
    <x v="1"/>
    <x v="31"/>
    <x v="27"/>
    <x v="19"/>
    <x v="34"/>
    <x v="2"/>
    <x v="34"/>
    <x v="0"/>
    <x v="1"/>
    <x v="0"/>
    <x v="4"/>
    <x v="0"/>
    <x v="8"/>
  </r>
  <r>
    <x v="26"/>
    <x v="0"/>
    <x v="4"/>
    <x v="28"/>
    <x v="27"/>
    <x v="35"/>
    <x v="1"/>
    <x v="35"/>
    <x v="0"/>
    <x v="0"/>
    <x v="0"/>
    <x v="7"/>
    <x v="0"/>
    <x v="9"/>
  </r>
  <r>
    <x v="15"/>
    <x v="0"/>
    <x v="32"/>
    <x v="19"/>
    <x v="28"/>
    <x v="36"/>
    <x v="1"/>
    <x v="36"/>
    <x v="0"/>
    <x v="1"/>
    <x v="0"/>
    <x v="9"/>
    <x v="1"/>
    <x v="8"/>
  </r>
  <r>
    <x v="12"/>
    <x v="1"/>
    <x v="33"/>
    <x v="29"/>
    <x v="29"/>
    <x v="37"/>
    <x v="0"/>
    <x v="37"/>
    <x v="0"/>
    <x v="0"/>
    <x v="0"/>
    <x v="5"/>
    <x v="0"/>
    <x v="9"/>
  </r>
  <r>
    <x v="27"/>
    <x v="0"/>
    <x v="32"/>
    <x v="30"/>
    <x v="30"/>
    <x v="38"/>
    <x v="2"/>
    <x v="38"/>
    <x v="0"/>
    <x v="0"/>
    <x v="0"/>
    <x v="9"/>
    <x v="0"/>
    <x v="0"/>
  </r>
  <r>
    <x v="28"/>
    <x v="1"/>
    <x v="34"/>
    <x v="31"/>
    <x v="31"/>
    <x v="39"/>
    <x v="0"/>
    <x v="39"/>
    <x v="0"/>
    <x v="0"/>
    <x v="0"/>
    <x v="8"/>
    <x v="1"/>
    <x v="6"/>
  </r>
  <r>
    <x v="5"/>
    <x v="1"/>
    <x v="35"/>
    <x v="32"/>
    <x v="32"/>
    <x v="40"/>
    <x v="0"/>
    <x v="40"/>
    <x v="0"/>
    <x v="0"/>
    <x v="1"/>
    <x v="2"/>
    <x v="1"/>
    <x v="0"/>
  </r>
  <r>
    <x v="29"/>
    <x v="1"/>
    <x v="36"/>
    <x v="33"/>
    <x v="33"/>
    <x v="16"/>
    <x v="2"/>
    <x v="41"/>
    <x v="0"/>
    <x v="0"/>
    <x v="0"/>
    <x v="1"/>
    <x v="0"/>
    <x v="5"/>
  </r>
  <r>
    <x v="0"/>
    <x v="0"/>
    <x v="37"/>
    <x v="34"/>
    <x v="3"/>
    <x v="41"/>
    <x v="0"/>
    <x v="42"/>
    <x v="1"/>
    <x v="1"/>
    <x v="1"/>
    <x v="1"/>
    <x v="0"/>
    <x v="4"/>
  </r>
  <r>
    <x v="30"/>
    <x v="1"/>
    <x v="38"/>
    <x v="10"/>
    <x v="21"/>
    <x v="42"/>
    <x v="2"/>
    <x v="43"/>
    <x v="1"/>
    <x v="1"/>
    <x v="1"/>
    <x v="7"/>
    <x v="0"/>
    <x v="7"/>
  </r>
  <r>
    <x v="31"/>
    <x v="1"/>
    <x v="39"/>
    <x v="29"/>
    <x v="34"/>
    <x v="43"/>
    <x v="0"/>
    <x v="44"/>
    <x v="0"/>
    <x v="1"/>
    <x v="1"/>
    <x v="2"/>
    <x v="0"/>
    <x v="9"/>
  </r>
  <r>
    <x v="20"/>
    <x v="1"/>
    <x v="40"/>
    <x v="6"/>
    <x v="35"/>
    <x v="2"/>
    <x v="0"/>
    <x v="45"/>
    <x v="0"/>
    <x v="1"/>
    <x v="0"/>
    <x v="0"/>
    <x v="0"/>
    <x v="7"/>
  </r>
  <r>
    <x v="32"/>
    <x v="1"/>
    <x v="11"/>
    <x v="7"/>
    <x v="36"/>
    <x v="33"/>
    <x v="2"/>
    <x v="46"/>
    <x v="0"/>
    <x v="1"/>
    <x v="0"/>
    <x v="6"/>
    <x v="0"/>
    <x v="9"/>
  </r>
  <r>
    <x v="33"/>
    <x v="0"/>
    <x v="41"/>
    <x v="8"/>
    <x v="37"/>
    <x v="44"/>
    <x v="2"/>
    <x v="47"/>
    <x v="0"/>
    <x v="0"/>
    <x v="0"/>
    <x v="4"/>
    <x v="1"/>
    <x v="2"/>
  </r>
  <r>
    <x v="29"/>
    <x v="1"/>
    <x v="42"/>
    <x v="35"/>
    <x v="7"/>
    <x v="45"/>
    <x v="0"/>
    <x v="48"/>
    <x v="0"/>
    <x v="1"/>
    <x v="0"/>
    <x v="1"/>
    <x v="0"/>
    <x v="8"/>
  </r>
  <r>
    <x v="34"/>
    <x v="1"/>
    <x v="16"/>
    <x v="36"/>
    <x v="38"/>
    <x v="46"/>
    <x v="0"/>
    <x v="49"/>
    <x v="0"/>
    <x v="1"/>
    <x v="1"/>
    <x v="3"/>
    <x v="0"/>
    <x v="5"/>
  </r>
  <r>
    <x v="14"/>
    <x v="1"/>
    <x v="43"/>
    <x v="15"/>
    <x v="39"/>
    <x v="47"/>
    <x v="1"/>
    <x v="50"/>
    <x v="0"/>
    <x v="0"/>
    <x v="0"/>
    <x v="1"/>
    <x v="1"/>
    <x v="6"/>
  </r>
  <r>
    <x v="35"/>
    <x v="1"/>
    <x v="11"/>
    <x v="35"/>
    <x v="10"/>
    <x v="21"/>
    <x v="0"/>
    <x v="51"/>
    <x v="0"/>
    <x v="1"/>
    <x v="0"/>
    <x v="9"/>
    <x v="1"/>
    <x v="9"/>
  </r>
  <r>
    <x v="24"/>
    <x v="1"/>
    <x v="11"/>
    <x v="37"/>
    <x v="40"/>
    <x v="48"/>
    <x v="2"/>
    <x v="52"/>
    <x v="0"/>
    <x v="0"/>
    <x v="0"/>
    <x v="1"/>
    <x v="1"/>
    <x v="7"/>
  </r>
  <r>
    <x v="26"/>
    <x v="0"/>
    <x v="44"/>
    <x v="38"/>
    <x v="24"/>
    <x v="49"/>
    <x v="2"/>
    <x v="53"/>
    <x v="0"/>
    <x v="1"/>
    <x v="0"/>
    <x v="1"/>
    <x v="1"/>
    <x v="5"/>
  </r>
  <r>
    <x v="28"/>
    <x v="1"/>
    <x v="45"/>
    <x v="9"/>
    <x v="12"/>
    <x v="50"/>
    <x v="0"/>
    <x v="54"/>
    <x v="0"/>
    <x v="0"/>
    <x v="0"/>
    <x v="6"/>
    <x v="0"/>
    <x v="3"/>
  </r>
  <r>
    <x v="15"/>
    <x v="0"/>
    <x v="46"/>
    <x v="39"/>
    <x v="41"/>
    <x v="51"/>
    <x v="2"/>
    <x v="55"/>
    <x v="0"/>
    <x v="1"/>
    <x v="1"/>
    <x v="6"/>
    <x v="0"/>
    <x v="3"/>
  </r>
  <r>
    <x v="4"/>
    <x v="1"/>
    <x v="47"/>
    <x v="40"/>
    <x v="15"/>
    <x v="52"/>
    <x v="0"/>
    <x v="56"/>
    <x v="0"/>
    <x v="1"/>
    <x v="0"/>
    <x v="5"/>
    <x v="0"/>
    <x v="0"/>
  </r>
  <r>
    <x v="26"/>
    <x v="0"/>
    <x v="48"/>
    <x v="21"/>
    <x v="42"/>
    <x v="53"/>
    <x v="1"/>
    <x v="57"/>
    <x v="0"/>
    <x v="0"/>
    <x v="1"/>
    <x v="0"/>
    <x v="0"/>
    <x v="6"/>
  </r>
  <r>
    <x v="36"/>
    <x v="0"/>
    <x v="49"/>
    <x v="41"/>
    <x v="43"/>
    <x v="54"/>
    <x v="0"/>
    <x v="58"/>
    <x v="0"/>
    <x v="0"/>
    <x v="0"/>
    <x v="3"/>
    <x v="0"/>
    <x v="2"/>
  </r>
  <r>
    <x v="32"/>
    <x v="1"/>
    <x v="50"/>
    <x v="42"/>
    <x v="44"/>
    <x v="55"/>
    <x v="2"/>
    <x v="59"/>
    <x v="0"/>
    <x v="0"/>
    <x v="1"/>
    <x v="1"/>
    <x v="0"/>
    <x v="7"/>
  </r>
  <r>
    <x v="37"/>
    <x v="1"/>
    <x v="2"/>
    <x v="18"/>
    <x v="45"/>
    <x v="50"/>
    <x v="0"/>
    <x v="60"/>
    <x v="0"/>
    <x v="0"/>
    <x v="0"/>
    <x v="1"/>
    <x v="1"/>
    <x v="8"/>
  </r>
  <r>
    <x v="10"/>
    <x v="0"/>
    <x v="51"/>
    <x v="43"/>
    <x v="46"/>
    <x v="56"/>
    <x v="0"/>
    <x v="61"/>
    <x v="0"/>
    <x v="0"/>
    <x v="0"/>
    <x v="4"/>
    <x v="0"/>
    <x v="8"/>
  </r>
  <r>
    <x v="33"/>
    <x v="0"/>
    <x v="26"/>
    <x v="36"/>
    <x v="47"/>
    <x v="19"/>
    <x v="0"/>
    <x v="62"/>
    <x v="0"/>
    <x v="0"/>
    <x v="1"/>
    <x v="6"/>
    <x v="1"/>
    <x v="7"/>
  </r>
  <r>
    <x v="11"/>
    <x v="0"/>
    <x v="51"/>
    <x v="44"/>
    <x v="48"/>
    <x v="53"/>
    <x v="1"/>
    <x v="63"/>
    <x v="0"/>
    <x v="0"/>
    <x v="1"/>
    <x v="3"/>
    <x v="1"/>
    <x v="4"/>
  </r>
  <r>
    <x v="31"/>
    <x v="1"/>
    <x v="52"/>
    <x v="6"/>
    <x v="49"/>
    <x v="55"/>
    <x v="2"/>
    <x v="64"/>
    <x v="0"/>
    <x v="0"/>
    <x v="1"/>
    <x v="7"/>
    <x v="0"/>
    <x v="2"/>
  </r>
  <r>
    <x v="14"/>
    <x v="1"/>
    <x v="53"/>
    <x v="45"/>
    <x v="50"/>
    <x v="57"/>
    <x v="1"/>
    <x v="65"/>
    <x v="0"/>
    <x v="1"/>
    <x v="0"/>
    <x v="5"/>
    <x v="1"/>
    <x v="5"/>
  </r>
  <r>
    <x v="38"/>
    <x v="1"/>
    <x v="25"/>
    <x v="46"/>
    <x v="51"/>
    <x v="58"/>
    <x v="1"/>
    <x v="66"/>
    <x v="0"/>
    <x v="1"/>
    <x v="1"/>
    <x v="0"/>
    <x v="0"/>
    <x v="9"/>
  </r>
  <r>
    <x v="23"/>
    <x v="0"/>
    <x v="27"/>
    <x v="15"/>
    <x v="20"/>
    <x v="59"/>
    <x v="2"/>
    <x v="67"/>
    <x v="0"/>
    <x v="0"/>
    <x v="0"/>
    <x v="2"/>
    <x v="1"/>
    <x v="4"/>
  </r>
  <r>
    <x v="31"/>
    <x v="1"/>
    <x v="16"/>
    <x v="47"/>
    <x v="52"/>
    <x v="49"/>
    <x v="2"/>
    <x v="68"/>
    <x v="0"/>
    <x v="1"/>
    <x v="0"/>
    <x v="0"/>
    <x v="0"/>
    <x v="9"/>
  </r>
  <r>
    <x v="1"/>
    <x v="1"/>
    <x v="54"/>
    <x v="15"/>
    <x v="5"/>
    <x v="38"/>
    <x v="2"/>
    <x v="69"/>
    <x v="0"/>
    <x v="1"/>
    <x v="1"/>
    <x v="9"/>
    <x v="1"/>
    <x v="9"/>
  </r>
  <r>
    <x v="30"/>
    <x v="1"/>
    <x v="55"/>
    <x v="48"/>
    <x v="53"/>
    <x v="60"/>
    <x v="3"/>
    <x v="70"/>
    <x v="0"/>
    <x v="1"/>
    <x v="1"/>
    <x v="1"/>
    <x v="0"/>
    <x v="4"/>
  </r>
  <r>
    <x v="34"/>
    <x v="1"/>
    <x v="56"/>
    <x v="49"/>
    <x v="30"/>
    <x v="61"/>
    <x v="2"/>
    <x v="71"/>
    <x v="0"/>
    <x v="1"/>
    <x v="0"/>
    <x v="5"/>
    <x v="0"/>
    <x v="0"/>
  </r>
  <r>
    <x v="15"/>
    <x v="0"/>
    <x v="32"/>
    <x v="29"/>
    <x v="19"/>
    <x v="62"/>
    <x v="0"/>
    <x v="72"/>
    <x v="0"/>
    <x v="0"/>
    <x v="0"/>
    <x v="9"/>
    <x v="0"/>
    <x v="3"/>
  </r>
  <r>
    <x v="39"/>
    <x v="0"/>
    <x v="57"/>
    <x v="8"/>
    <x v="20"/>
    <x v="49"/>
    <x v="2"/>
    <x v="73"/>
    <x v="0"/>
    <x v="1"/>
    <x v="1"/>
    <x v="3"/>
    <x v="0"/>
    <x v="9"/>
  </r>
  <r>
    <x v="40"/>
    <x v="1"/>
    <x v="16"/>
    <x v="50"/>
    <x v="17"/>
    <x v="63"/>
    <x v="2"/>
    <x v="74"/>
    <x v="0"/>
    <x v="0"/>
    <x v="1"/>
    <x v="2"/>
    <x v="0"/>
    <x v="4"/>
  </r>
  <r>
    <x v="10"/>
    <x v="0"/>
    <x v="33"/>
    <x v="26"/>
    <x v="28"/>
    <x v="64"/>
    <x v="1"/>
    <x v="75"/>
    <x v="0"/>
    <x v="1"/>
    <x v="1"/>
    <x v="6"/>
    <x v="1"/>
    <x v="4"/>
  </r>
  <r>
    <x v="32"/>
    <x v="1"/>
    <x v="14"/>
    <x v="12"/>
    <x v="54"/>
    <x v="11"/>
    <x v="3"/>
    <x v="76"/>
    <x v="0"/>
    <x v="1"/>
    <x v="0"/>
    <x v="5"/>
    <x v="1"/>
    <x v="1"/>
  </r>
  <r>
    <x v="41"/>
    <x v="0"/>
    <x v="58"/>
    <x v="51"/>
    <x v="24"/>
    <x v="65"/>
    <x v="1"/>
    <x v="77"/>
    <x v="0"/>
    <x v="1"/>
    <x v="0"/>
    <x v="5"/>
    <x v="1"/>
    <x v="0"/>
  </r>
  <r>
    <x v="42"/>
    <x v="0"/>
    <x v="59"/>
    <x v="15"/>
    <x v="26"/>
    <x v="22"/>
    <x v="2"/>
    <x v="78"/>
    <x v="0"/>
    <x v="0"/>
    <x v="0"/>
    <x v="1"/>
    <x v="0"/>
    <x v="6"/>
  </r>
  <r>
    <x v="2"/>
    <x v="1"/>
    <x v="22"/>
    <x v="29"/>
    <x v="17"/>
    <x v="32"/>
    <x v="2"/>
    <x v="79"/>
    <x v="0"/>
    <x v="1"/>
    <x v="0"/>
    <x v="8"/>
    <x v="1"/>
    <x v="1"/>
  </r>
  <r>
    <x v="4"/>
    <x v="1"/>
    <x v="57"/>
    <x v="52"/>
    <x v="55"/>
    <x v="14"/>
    <x v="0"/>
    <x v="80"/>
    <x v="1"/>
    <x v="0"/>
    <x v="0"/>
    <x v="5"/>
    <x v="0"/>
    <x v="1"/>
  </r>
  <r>
    <x v="32"/>
    <x v="1"/>
    <x v="21"/>
    <x v="5"/>
    <x v="56"/>
    <x v="66"/>
    <x v="0"/>
    <x v="81"/>
    <x v="0"/>
    <x v="1"/>
    <x v="0"/>
    <x v="4"/>
    <x v="0"/>
    <x v="7"/>
  </r>
  <r>
    <x v="7"/>
    <x v="1"/>
    <x v="57"/>
    <x v="1"/>
    <x v="26"/>
    <x v="67"/>
    <x v="1"/>
    <x v="82"/>
    <x v="0"/>
    <x v="0"/>
    <x v="1"/>
    <x v="2"/>
    <x v="1"/>
    <x v="3"/>
  </r>
  <r>
    <x v="11"/>
    <x v="0"/>
    <x v="6"/>
    <x v="53"/>
    <x v="26"/>
    <x v="24"/>
    <x v="1"/>
    <x v="83"/>
    <x v="0"/>
    <x v="1"/>
    <x v="0"/>
    <x v="2"/>
    <x v="1"/>
    <x v="4"/>
  </r>
  <r>
    <x v="5"/>
    <x v="1"/>
    <x v="57"/>
    <x v="54"/>
    <x v="28"/>
    <x v="68"/>
    <x v="1"/>
    <x v="84"/>
    <x v="0"/>
    <x v="0"/>
    <x v="0"/>
    <x v="4"/>
    <x v="0"/>
    <x v="3"/>
  </r>
  <r>
    <x v="25"/>
    <x v="1"/>
    <x v="60"/>
    <x v="39"/>
    <x v="2"/>
    <x v="22"/>
    <x v="2"/>
    <x v="85"/>
    <x v="0"/>
    <x v="0"/>
    <x v="0"/>
    <x v="7"/>
    <x v="1"/>
    <x v="2"/>
  </r>
  <r>
    <x v="43"/>
    <x v="0"/>
    <x v="59"/>
    <x v="55"/>
    <x v="57"/>
    <x v="69"/>
    <x v="2"/>
    <x v="86"/>
    <x v="0"/>
    <x v="1"/>
    <x v="1"/>
    <x v="4"/>
    <x v="0"/>
    <x v="7"/>
  </r>
  <r>
    <x v="30"/>
    <x v="1"/>
    <x v="61"/>
    <x v="36"/>
    <x v="38"/>
    <x v="70"/>
    <x v="1"/>
    <x v="87"/>
    <x v="0"/>
    <x v="0"/>
    <x v="0"/>
    <x v="4"/>
    <x v="0"/>
    <x v="6"/>
  </r>
  <r>
    <x v="26"/>
    <x v="0"/>
    <x v="62"/>
    <x v="50"/>
    <x v="58"/>
    <x v="68"/>
    <x v="1"/>
    <x v="88"/>
    <x v="0"/>
    <x v="1"/>
    <x v="0"/>
    <x v="2"/>
    <x v="0"/>
    <x v="3"/>
  </r>
  <r>
    <x v="9"/>
    <x v="1"/>
    <x v="2"/>
    <x v="56"/>
    <x v="52"/>
    <x v="71"/>
    <x v="1"/>
    <x v="89"/>
    <x v="0"/>
    <x v="1"/>
    <x v="1"/>
    <x v="0"/>
    <x v="0"/>
    <x v="8"/>
  </r>
  <r>
    <x v="34"/>
    <x v="1"/>
    <x v="63"/>
    <x v="56"/>
    <x v="25"/>
    <x v="15"/>
    <x v="0"/>
    <x v="90"/>
    <x v="0"/>
    <x v="1"/>
    <x v="0"/>
    <x v="2"/>
    <x v="0"/>
    <x v="9"/>
  </r>
  <r>
    <x v="20"/>
    <x v="1"/>
    <x v="64"/>
    <x v="49"/>
    <x v="15"/>
    <x v="72"/>
    <x v="2"/>
    <x v="91"/>
    <x v="0"/>
    <x v="1"/>
    <x v="0"/>
    <x v="8"/>
    <x v="1"/>
    <x v="2"/>
  </r>
  <r>
    <x v="43"/>
    <x v="0"/>
    <x v="59"/>
    <x v="54"/>
    <x v="16"/>
    <x v="73"/>
    <x v="1"/>
    <x v="92"/>
    <x v="0"/>
    <x v="1"/>
    <x v="0"/>
    <x v="1"/>
    <x v="1"/>
    <x v="0"/>
  </r>
  <r>
    <x v="44"/>
    <x v="0"/>
    <x v="65"/>
    <x v="57"/>
    <x v="48"/>
    <x v="74"/>
    <x v="2"/>
    <x v="93"/>
    <x v="0"/>
    <x v="1"/>
    <x v="0"/>
    <x v="9"/>
    <x v="0"/>
    <x v="6"/>
  </r>
  <r>
    <x v="1"/>
    <x v="1"/>
    <x v="66"/>
    <x v="58"/>
    <x v="13"/>
    <x v="75"/>
    <x v="1"/>
    <x v="94"/>
    <x v="0"/>
    <x v="1"/>
    <x v="0"/>
    <x v="0"/>
    <x v="0"/>
    <x v="2"/>
  </r>
  <r>
    <x v="2"/>
    <x v="1"/>
    <x v="8"/>
    <x v="31"/>
    <x v="15"/>
    <x v="47"/>
    <x v="1"/>
    <x v="95"/>
    <x v="0"/>
    <x v="1"/>
    <x v="1"/>
    <x v="6"/>
    <x v="1"/>
    <x v="9"/>
  </r>
  <r>
    <x v="43"/>
    <x v="0"/>
    <x v="67"/>
    <x v="45"/>
    <x v="59"/>
    <x v="76"/>
    <x v="0"/>
    <x v="96"/>
    <x v="0"/>
    <x v="1"/>
    <x v="1"/>
    <x v="9"/>
    <x v="1"/>
    <x v="7"/>
  </r>
  <r>
    <x v="45"/>
    <x v="1"/>
    <x v="68"/>
    <x v="29"/>
    <x v="60"/>
    <x v="70"/>
    <x v="1"/>
    <x v="97"/>
    <x v="0"/>
    <x v="1"/>
    <x v="1"/>
    <x v="1"/>
    <x v="0"/>
    <x v="9"/>
  </r>
  <r>
    <x v="20"/>
    <x v="1"/>
    <x v="69"/>
    <x v="10"/>
    <x v="9"/>
    <x v="70"/>
    <x v="1"/>
    <x v="98"/>
    <x v="0"/>
    <x v="1"/>
    <x v="0"/>
    <x v="8"/>
    <x v="1"/>
    <x v="1"/>
  </r>
  <r>
    <x v="28"/>
    <x v="1"/>
    <x v="70"/>
    <x v="59"/>
    <x v="61"/>
    <x v="77"/>
    <x v="2"/>
    <x v="99"/>
    <x v="0"/>
    <x v="0"/>
    <x v="0"/>
    <x v="8"/>
    <x v="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indent="0" outline="1" outlineData="1" showDrill="1" multipleFieldFilters="0">
  <location ref="A3:A4" firstHeaderRow="1" firstDataRow="1" firstDataCol="0"/>
  <pivotFields count="14">
    <pivotField dataField="1" numFmtId="1" showAll="0">
      <items count="47">
        <item x="45"/>
        <item x="14"/>
        <item x="12"/>
        <item x="31"/>
        <item x="38"/>
        <item x="28"/>
        <item x="4"/>
        <item x="29"/>
        <item x="40"/>
        <item x="8"/>
        <item x="19"/>
        <item x="32"/>
        <item x="2"/>
        <item x="25"/>
        <item x="37"/>
        <item x="30"/>
        <item x="6"/>
        <item x="35"/>
        <item x="5"/>
        <item x="13"/>
        <item x="7"/>
        <item x="9"/>
        <item x="20"/>
        <item x="34"/>
        <item x="22"/>
        <item x="24"/>
        <item x="1"/>
        <item x="16"/>
        <item x="41"/>
        <item x="18"/>
        <item x="39"/>
        <item x="36"/>
        <item x="10"/>
        <item x="27"/>
        <item x="17"/>
        <item x="0"/>
        <item x="11"/>
        <item x="44"/>
        <item x="23"/>
        <item x="3"/>
        <item x="15"/>
        <item x="43"/>
        <item x="26"/>
        <item x="42"/>
        <item x="21"/>
        <item x="33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72">
        <item x="23"/>
        <item x="60"/>
        <item x="53"/>
        <item x="9"/>
        <item x="0"/>
        <item x="14"/>
        <item x="38"/>
        <item x="28"/>
        <item x="69"/>
        <item x="26"/>
        <item x="11"/>
        <item x="36"/>
        <item x="47"/>
        <item x="7"/>
        <item x="20"/>
        <item x="37"/>
        <item x="17"/>
        <item x="68"/>
        <item x="58"/>
        <item x="10"/>
        <item x="30"/>
        <item x="45"/>
        <item x="42"/>
        <item x="15"/>
        <item x="54"/>
        <item x="33"/>
        <item x="65"/>
        <item x="61"/>
        <item x="55"/>
        <item x="16"/>
        <item x="4"/>
        <item x="41"/>
        <item x="66"/>
        <item x="70"/>
        <item x="39"/>
        <item x="13"/>
        <item x="48"/>
        <item x="6"/>
        <item x="46"/>
        <item x="40"/>
        <item x="62"/>
        <item x="1"/>
        <item x="29"/>
        <item x="50"/>
        <item x="32"/>
        <item x="18"/>
        <item x="21"/>
        <item x="25"/>
        <item x="19"/>
        <item x="44"/>
        <item x="57"/>
        <item x="52"/>
        <item x="56"/>
        <item x="51"/>
        <item x="8"/>
        <item x="31"/>
        <item x="64"/>
        <item x="49"/>
        <item x="2"/>
        <item x="59"/>
        <item x="22"/>
        <item x="34"/>
        <item x="43"/>
        <item x="12"/>
        <item x="3"/>
        <item x="27"/>
        <item x="5"/>
        <item x="24"/>
        <item x="35"/>
        <item x="67"/>
        <item x="63"/>
        <item t="default"/>
      </items>
    </pivotField>
    <pivotField numFmtId="1" showAll="0">
      <items count="61">
        <item x="19"/>
        <item x="28"/>
        <item x="7"/>
        <item x="59"/>
        <item x="26"/>
        <item x="50"/>
        <item x="34"/>
        <item x="2"/>
        <item x="30"/>
        <item x="48"/>
        <item x="3"/>
        <item x="51"/>
        <item x="42"/>
        <item x="10"/>
        <item x="8"/>
        <item x="49"/>
        <item x="53"/>
        <item x="23"/>
        <item x="35"/>
        <item x="41"/>
        <item x="56"/>
        <item x="57"/>
        <item x="54"/>
        <item x="24"/>
        <item x="33"/>
        <item x="15"/>
        <item x="44"/>
        <item x="9"/>
        <item x="32"/>
        <item x="39"/>
        <item x="17"/>
        <item x="16"/>
        <item x="46"/>
        <item x="25"/>
        <item x="29"/>
        <item x="22"/>
        <item x="55"/>
        <item x="14"/>
        <item x="36"/>
        <item x="20"/>
        <item x="5"/>
        <item x="27"/>
        <item x="45"/>
        <item x="58"/>
        <item x="43"/>
        <item x="12"/>
        <item x="47"/>
        <item x="31"/>
        <item x="0"/>
        <item x="13"/>
        <item x="38"/>
        <item x="4"/>
        <item x="37"/>
        <item x="52"/>
        <item x="6"/>
        <item x="18"/>
        <item x="40"/>
        <item x="1"/>
        <item x="21"/>
        <item x="11"/>
        <item t="default"/>
      </items>
    </pivotField>
    <pivotField numFmtId="1" showAll="0">
      <items count="63">
        <item x="32"/>
        <item x="59"/>
        <item x="9"/>
        <item x="42"/>
        <item x="48"/>
        <item x="34"/>
        <item x="41"/>
        <item x="50"/>
        <item x="52"/>
        <item x="49"/>
        <item x="3"/>
        <item x="23"/>
        <item x="46"/>
        <item x="56"/>
        <item x="29"/>
        <item x="12"/>
        <item x="24"/>
        <item x="39"/>
        <item x="31"/>
        <item x="6"/>
        <item x="19"/>
        <item x="21"/>
        <item x="0"/>
        <item x="44"/>
        <item x="11"/>
        <item x="37"/>
        <item x="38"/>
        <item x="35"/>
        <item x="4"/>
        <item x="45"/>
        <item x="8"/>
        <item x="27"/>
        <item x="36"/>
        <item x="2"/>
        <item x="40"/>
        <item x="54"/>
        <item x="57"/>
        <item x="13"/>
        <item x="25"/>
        <item x="43"/>
        <item x="26"/>
        <item x="15"/>
        <item x="55"/>
        <item x="17"/>
        <item x="1"/>
        <item x="47"/>
        <item x="30"/>
        <item x="22"/>
        <item x="60"/>
        <item x="58"/>
        <item x="51"/>
        <item x="18"/>
        <item x="28"/>
        <item x="20"/>
        <item x="33"/>
        <item x="5"/>
        <item x="7"/>
        <item x="14"/>
        <item x="61"/>
        <item x="16"/>
        <item x="53"/>
        <item x="10"/>
        <item t="default"/>
      </items>
    </pivotField>
    <pivotField numFmtId="1" showAll="0">
      <items count="79">
        <item x="31"/>
        <item x="60"/>
        <item x="11"/>
        <item x="51"/>
        <item x="34"/>
        <item x="33"/>
        <item x="49"/>
        <item x="10"/>
        <item x="61"/>
        <item x="38"/>
        <item x="77"/>
        <item x="32"/>
        <item x="17"/>
        <item x="48"/>
        <item x="16"/>
        <item x="69"/>
        <item x="59"/>
        <item x="28"/>
        <item x="18"/>
        <item x="8"/>
        <item x="22"/>
        <item x="63"/>
        <item x="6"/>
        <item x="74"/>
        <item x="29"/>
        <item x="72"/>
        <item x="44"/>
        <item x="55"/>
        <item x="42"/>
        <item x="15"/>
        <item x="27"/>
        <item x="76"/>
        <item x="41"/>
        <item x="9"/>
        <item x="56"/>
        <item x="40"/>
        <item x="37"/>
        <item x="39"/>
        <item x="46"/>
        <item x="5"/>
        <item x="0"/>
        <item x="1"/>
        <item x="19"/>
        <item x="25"/>
        <item x="54"/>
        <item x="52"/>
        <item x="26"/>
        <item x="43"/>
        <item x="45"/>
        <item x="66"/>
        <item x="2"/>
        <item x="50"/>
        <item x="21"/>
        <item x="62"/>
        <item x="14"/>
        <item x="36"/>
        <item x="20"/>
        <item x="3"/>
        <item x="24"/>
        <item x="70"/>
        <item x="30"/>
        <item x="73"/>
        <item x="7"/>
        <item x="68"/>
        <item x="65"/>
        <item x="13"/>
        <item x="64"/>
        <item x="35"/>
        <item x="47"/>
        <item x="67"/>
        <item x="58"/>
        <item x="75"/>
        <item x="53"/>
        <item x="23"/>
        <item x="57"/>
        <item x="12"/>
        <item x="4"/>
        <item x="7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2" showAll="0">
      <items count="101">
        <item x="10"/>
        <item x="18"/>
        <item x="32"/>
        <item x="16"/>
        <item x="42"/>
        <item x="43"/>
        <item x="80"/>
        <item x="75"/>
        <item x="46"/>
        <item x="41"/>
        <item x="11"/>
        <item x="64"/>
        <item x="29"/>
        <item x="52"/>
        <item x="17"/>
        <item x="85"/>
        <item x="25"/>
        <item x="76"/>
        <item x="58"/>
        <item x="15"/>
        <item x="90"/>
        <item x="36"/>
        <item x="51"/>
        <item x="74"/>
        <item x="70"/>
        <item x="56"/>
        <item x="73"/>
        <item x="63"/>
        <item x="48"/>
        <item x="0"/>
        <item x="89"/>
        <item x="37"/>
        <item x="94"/>
        <item x="77"/>
        <item x="61"/>
        <item x="98"/>
        <item x="81"/>
        <item x="44"/>
        <item x="71"/>
        <item x="31"/>
        <item x="88"/>
        <item x="2"/>
        <item x="65"/>
        <item x="35"/>
        <item x="49"/>
        <item x="22"/>
        <item x="34"/>
        <item x="4"/>
        <item x="20"/>
        <item x="13"/>
        <item x="83"/>
        <item x="6"/>
        <item x="26"/>
        <item x="87"/>
        <item x="99"/>
        <item x="30"/>
        <item x="7"/>
        <item x="68"/>
        <item x="24"/>
        <item x="69"/>
        <item x="79"/>
        <item x="84"/>
        <item x="62"/>
        <item x="59"/>
        <item x="95"/>
        <item x="72"/>
        <item x="8"/>
        <item x="54"/>
        <item x="28"/>
        <item x="91"/>
        <item x="47"/>
        <item x="66"/>
        <item x="78"/>
        <item x="60"/>
        <item x="38"/>
        <item x="82"/>
        <item x="12"/>
        <item x="45"/>
        <item x="19"/>
        <item x="14"/>
        <item x="21"/>
        <item x="33"/>
        <item x="67"/>
        <item x="93"/>
        <item x="1"/>
        <item x="97"/>
        <item x="23"/>
        <item x="5"/>
        <item x="40"/>
        <item x="9"/>
        <item x="39"/>
        <item x="96"/>
        <item x="92"/>
        <item x="55"/>
        <item x="27"/>
        <item x="3"/>
        <item x="86"/>
        <item x="57"/>
        <item x="53"/>
        <item x="50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3">
        <item x="0"/>
        <item x="1"/>
        <item t="default"/>
      </items>
    </pivotField>
    <pivotField numFmtId="1" showAll="0">
      <items count="3">
        <item x="0"/>
        <item x="1"/>
        <item t="default"/>
      </items>
    </pivotField>
    <pivotField numFmtId="1" showAll="0">
      <items count="11">
        <item x="1"/>
        <item x="6"/>
        <item x="4"/>
        <item x="2"/>
        <item x="3"/>
        <item x="5"/>
        <item x="0"/>
        <item x="9"/>
        <item x="8"/>
        <item x="7"/>
        <item t="default"/>
      </items>
    </pivotField>
    <pivotField numFmtId="1" showAll="0">
      <items count="3">
        <item x="1"/>
        <item x="0"/>
        <item t="default"/>
      </items>
    </pivotField>
    <pivotField numFmtId="1" showAll="0">
      <items count="11">
        <item x="0"/>
        <item x="8"/>
        <item x="2"/>
        <item x="3"/>
        <item x="1"/>
        <item x="4"/>
        <item x="7"/>
        <item x="6"/>
        <item x="5"/>
        <item x="9"/>
        <item t="default"/>
      </items>
    </pivotField>
  </pivotFields>
  <dataFields count="1">
    <dataField name="Count of Age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indent="0" outline="1" outlineData="1" showDrill="1" multipleFieldFilters="0">
  <location ref="A3:A4" firstHeaderRow="1" firstDataRow="1" firstDataCol="0"/>
  <pivotFields count="14">
    <pivotField numFmtId="1" showAll="0">
      <items count="47">
        <item x="45"/>
        <item x="14"/>
        <item x="12"/>
        <item x="31"/>
        <item x="38"/>
        <item x="28"/>
        <item x="4"/>
        <item x="29"/>
        <item x="40"/>
        <item x="8"/>
        <item x="19"/>
        <item x="32"/>
        <item x="2"/>
        <item x="25"/>
        <item x="37"/>
        <item x="30"/>
        <item x="6"/>
        <item x="35"/>
        <item x="5"/>
        <item x="13"/>
        <item x="7"/>
        <item x="9"/>
        <item x="20"/>
        <item x="34"/>
        <item x="22"/>
        <item x="24"/>
        <item x="1"/>
        <item x="16"/>
        <item x="41"/>
        <item x="18"/>
        <item x="39"/>
        <item x="36"/>
        <item x="10"/>
        <item x="27"/>
        <item x="17"/>
        <item x="0"/>
        <item x="11"/>
        <item x="44"/>
        <item x="23"/>
        <item x="3"/>
        <item x="15"/>
        <item x="43"/>
        <item x="26"/>
        <item x="42"/>
        <item x="21"/>
        <item x="33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72">
        <item x="23"/>
        <item x="60"/>
        <item x="53"/>
        <item x="9"/>
        <item x="0"/>
        <item x="14"/>
        <item x="38"/>
        <item x="28"/>
        <item x="69"/>
        <item x="26"/>
        <item x="11"/>
        <item x="36"/>
        <item x="47"/>
        <item x="7"/>
        <item x="20"/>
        <item x="37"/>
        <item x="17"/>
        <item x="68"/>
        <item x="58"/>
        <item x="10"/>
        <item x="30"/>
        <item x="45"/>
        <item x="42"/>
        <item x="15"/>
        <item x="54"/>
        <item x="33"/>
        <item x="65"/>
        <item x="61"/>
        <item x="55"/>
        <item x="16"/>
        <item x="4"/>
        <item x="41"/>
        <item x="66"/>
        <item x="70"/>
        <item x="39"/>
        <item x="13"/>
        <item x="48"/>
        <item x="6"/>
        <item x="46"/>
        <item x="40"/>
        <item x="62"/>
        <item x="1"/>
        <item x="29"/>
        <item x="50"/>
        <item x="32"/>
        <item x="18"/>
        <item x="21"/>
        <item x="25"/>
        <item x="19"/>
        <item x="44"/>
        <item x="57"/>
        <item x="52"/>
        <item x="56"/>
        <item x="51"/>
        <item x="8"/>
        <item x="31"/>
        <item x="64"/>
        <item x="49"/>
        <item x="2"/>
        <item x="59"/>
        <item x="22"/>
        <item x="34"/>
        <item x="43"/>
        <item x="12"/>
        <item x="3"/>
        <item x="27"/>
        <item x="5"/>
        <item x="24"/>
        <item x="35"/>
        <item x="67"/>
        <item x="63"/>
        <item t="default"/>
      </items>
    </pivotField>
    <pivotField numFmtId="1" showAll="0">
      <items count="61">
        <item x="19"/>
        <item x="28"/>
        <item x="7"/>
        <item x="59"/>
        <item x="26"/>
        <item x="50"/>
        <item x="34"/>
        <item x="2"/>
        <item x="30"/>
        <item x="48"/>
        <item x="3"/>
        <item x="51"/>
        <item x="42"/>
        <item x="10"/>
        <item x="8"/>
        <item x="49"/>
        <item x="53"/>
        <item x="23"/>
        <item x="35"/>
        <item x="41"/>
        <item x="56"/>
        <item x="57"/>
        <item x="54"/>
        <item x="24"/>
        <item x="33"/>
        <item x="15"/>
        <item x="44"/>
        <item x="9"/>
        <item x="32"/>
        <item x="39"/>
        <item x="17"/>
        <item x="16"/>
        <item x="46"/>
        <item x="25"/>
        <item x="29"/>
        <item x="22"/>
        <item x="55"/>
        <item x="14"/>
        <item x="36"/>
        <item x="20"/>
        <item x="5"/>
        <item x="27"/>
        <item x="45"/>
        <item x="58"/>
        <item x="43"/>
        <item x="12"/>
        <item x="47"/>
        <item x="31"/>
        <item x="0"/>
        <item x="13"/>
        <item x="38"/>
        <item x="4"/>
        <item x="37"/>
        <item x="52"/>
        <item x="6"/>
        <item x="18"/>
        <item x="40"/>
        <item x="1"/>
        <item x="21"/>
        <item x="11"/>
        <item t="default"/>
      </items>
    </pivotField>
    <pivotField numFmtId="1" showAll="0">
      <items count="63">
        <item x="32"/>
        <item x="59"/>
        <item x="9"/>
        <item x="42"/>
        <item x="48"/>
        <item x="34"/>
        <item x="41"/>
        <item x="50"/>
        <item x="52"/>
        <item x="49"/>
        <item x="3"/>
        <item x="23"/>
        <item x="46"/>
        <item x="56"/>
        <item x="29"/>
        <item x="12"/>
        <item x="24"/>
        <item x="39"/>
        <item x="31"/>
        <item x="6"/>
        <item x="19"/>
        <item x="21"/>
        <item x="0"/>
        <item x="44"/>
        <item x="11"/>
        <item x="37"/>
        <item x="38"/>
        <item x="35"/>
        <item x="4"/>
        <item x="45"/>
        <item x="8"/>
        <item x="27"/>
        <item x="36"/>
        <item x="2"/>
        <item x="40"/>
        <item x="54"/>
        <item x="57"/>
        <item x="13"/>
        <item x="25"/>
        <item x="43"/>
        <item x="26"/>
        <item x="15"/>
        <item x="55"/>
        <item x="17"/>
        <item x="1"/>
        <item x="47"/>
        <item x="30"/>
        <item x="22"/>
        <item x="60"/>
        <item x="58"/>
        <item x="51"/>
        <item x="18"/>
        <item x="28"/>
        <item x="20"/>
        <item x="33"/>
        <item x="5"/>
        <item x="7"/>
        <item x="14"/>
        <item x="61"/>
        <item x="16"/>
        <item x="53"/>
        <item x="10"/>
        <item t="default"/>
      </items>
    </pivotField>
    <pivotField numFmtId="1" showAll="0">
      <items count="79">
        <item x="31"/>
        <item x="60"/>
        <item x="11"/>
        <item x="51"/>
        <item x="34"/>
        <item x="33"/>
        <item x="49"/>
        <item x="10"/>
        <item x="61"/>
        <item x="38"/>
        <item x="77"/>
        <item x="32"/>
        <item x="17"/>
        <item x="48"/>
        <item x="16"/>
        <item x="69"/>
        <item x="59"/>
        <item x="28"/>
        <item x="18"/>
        <item x="8"/>
        <item x="22"/>
        <item x="63"/>
        <item x="6"/>
        <item x="74"/>
        <item x="29"/>
        <item x="72"/>
        <item x="44"/>
        <item x="55"/>
        <item x="42"/>
        <item x="15"/>
        <item x="27"/>
        <item x="76"/>
        <item x="41"/>
        <item x="9"/>
        <item x="56"/>
        <item x="40"/>
        <item x="37"/>
        <item x="39"/>
        <item x="46"/>
        <item x="5"/>
        <item x="0"/>
        <item x="1"/>
        <item x="19"/>
        <item x="25"/>
        <item x="54"/>
        <item x="52"/>
        <item x="26"/>
        <item x="43"/>
        <item x="45"/>
        <item x="66"/>
        <item x="2"/>
        <item x="50"/>
        <item x="21"/>
        <item x="62"/>
        <item x="14"/>
        <item x="36"/>
        <item x="20"/>
        <item x="3"/>
        <item x="24"/>
        <item x="70"/>
        <item x="30"/>
        <item x="73"/>
        <item x="7"/>
        <item x="68"/>
        <item x="65"/>
        <item x="13"/>
        <item x="64"/>
        <item x="35"/>
        <item x="47"/>
        <item x="67"/>
        <item x="58"/>
        <item x="75"/>
        <item x="53"/>
        <item x="23"/>
        <item x="57"/>
        <item x="12"/>
        <item x="4"/>
        <item x="7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dataField="1" numFmtId="2" showAll="0">
      <items count="101">
        <item x="10"/>
        <item x="18"/>
        <item x="32"/>
        <item x="16"/>
        <item x="42"/>
        <item x="43"/>
        <item x="80"/>
        <item x="75"/>
        <item x="46"/>
        <item x="41"/>
        <item x="11"/>
        <item x="64"/>
        <item x="29"/>
        <item x="52"/>
        <item x="17"/>
        <item x="85"/>
        <item x="25"/>
        <item x="76"/>
        <item x="58"/>
        <item x="15"/>
        <item x="90"/>
        <item x="36"/>
        <item x="51"/>
        <item x="74"/>
        <item x="70"/>
        <item x="56"/>
        <item x="73"/>
        <item x="63"/>
        <item x="48"/>
        <item x="0"/>
        <item x="89"/>
        <item x="37"/>
        <item x="94"/>
        <item x="77"/>
        <item x="61"/>
        <item x="98"/>
        <item x="81"/>
        <item x="44"/>
        <item x="71"/>
        <item x="31"/>
        <item x="88"/>
        <item x="2"/>
        <item x="65"/>
        <item x="35"/>
        <item x="49"/>
        <item x="22"/>
        <item x="34"/>
        <item x="4"/>
        <item x="20"/>
        <item x="13"/>
        <item x="83"/>
        <item x="6"/>
        <item x="26"/>
        <item x="87"/>
        <item x="99"/>
        <item x="30"/>
        <item x="7"/>
        <item x="68"/>
        <item x="24"/>
        <item x="69"/>
        <item x="79"/>
        <item x="84"/>
        <item x="62"/>
        <item x="59"/>
        <item x="95"/>
        <item x="72"/>
        <item x="8"/>
        <item x="54"/>
        <item x="28"/>
        <item x="91"/>
        <item x="47"/>
        <item x="66"/>
        <item x="78"/>
        <item x="60"/>
        <item x="38"/>
        <item x="82"/>
        <item x="12"/>
        <item x="45"/>
        <item x="19"/>
        <item x="14"/>
        <item x="21"/>
        <item x="33"/>
        <item x="67"/>
        <item x="93"/>
        <item x="1"/>
        <item x="97"/>
        <item x="23"/>
        <item x="5"/>
        <item x="40"/>
        <item x="9"/>
        <item x="39"/>
        <item x="96"/>
        <item x="92"/>
        <item x="55"/>
        <item x="27"/>
        <item x="3"/>
        <item x="86"/>
        <item x="57"/>
        <item x="53"/>
        <item x="50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3">
        <item x="0"/>
        <item x="1"/>
        <item t="default"/>
      </items>
    </pivotField>
    <pivotField numFmtId="1" showAll="0">
      <items count="3">
        <item x="0"/>
        <item x="1"/>
        <item t="default"/>
      </items>
    </pivotField>
    <pivotField numFmtId="1" showAll="0">
      <items count="11">
        <item x="1"/>
        <item x="6"/>
        <item x="4"/>
        <item x="2"/>
        <item x="3"/>
        <item x="5"/>
        <item x="0"/>
        <item x="9"/>
        <item x="8"/>
        <item x="7"/>
        <item t="default"/>
      </items>
    </pivotField>
    <pivotField numFmtId="1" showAll="0">
      <items count="3">
        <item x="1"/>
        <item x="0"/>
        <item t="default"/>
      </items>
    </pivotField>
    <pivotField numFmtId="1" showAll="0">
      <items count="11">
        <item x="0"/>
        <item x="8"/>
        <item x="2"/>
        <item x="3"/>
        <item x="1"/>
        <item x="4"/>
        <item x="7"/>
        <item x="6"/>
        <item x="5"/>
        <item x="9"/>
        <item t="default"/>
      </items>
    </pivotField>
  </pivotFields>
  <dataFields count="1">
    <dataField name="Average of Heart_Risk_Score" fld="7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indent="0" outline="1" outlineData="1" showDrill="1" multipleFieldFilters="0">
  <location ref="A3:A4" firstHeaderRow="1" firstDataRow="1" firstDataCol="0"/>
  <pivotFields count="14">
    <pivotField numFmtId="1" showAll="0">
      <items count="47">
        <item x="45"/>
        <item x="14"/>
        <item x="12"/>
        <item x="31"/>
        <item x="38"/>
        <item x="28"/>
        <item x="4"/>
        <item x="29"/>
        <item x="40"/>
        <item x="8"/>
        <item x="19"/>
        <item x="32"/>
        <item x="2"/>
        <item x="25"/>
        <item x="37"/>
        <item x="30"/>
        <item x="6"/>
        <item x="35"/>
        <item x="5"/>
        <item x="13"/>
        <item x="7"/>
        <item x="9"/>
        <item x="20"/>
        <item x="34"/>
        <item x="22"/>
        <item x="24"/>
        <item x="1"/>
        <item x="16"/>
        <item x="41"/>
        <item x="18"/>
        <item x="39"/>
        <item x="36"/>
        <item x="10"/>
        <item x="27"/>
        <item x="17"/>
        <item x="0"/>
        <item x="11"/>
        <item x="44"/>
        <item x="23"/>
        <item x="3"/>
        <item x="15"/>
        <item x="43"/>
        <item x="26"/>
        <item x="42"/>
        <item x="21"/>
        <item x="33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72">
        <item x="23"/>
        <item x="60"/>
        <item x="53"/>
        <item x="9"/>
        <item x="0"/>
        <item x="14"/>
        <item x="38"/>
        <item x="28"/>
        <item x="69"/>
        <item x="26"/>
        <item x="11"/>
        <item x="36"/>
        <item x="47"/>
        <item x="7"/>
        <item x="20"/>
        <item x="37"/>
        <item x="17"/>
        <item x="68"/>
        <item x="58"/>
        <item x="10"/>
        <item x="30"/>
        <item x="45"/>
        <item x="42"/>
        <item x="15"/>
        <item x="54"/>
        <item x="33"/>
        <item x="65"/>
        <item x="61"/>
        <item x="55"/>
        <item x="16"/>
        <item x="4"/>
        <item x="41"/>
        <item x="66"/>
        <item x="70"/>
        <item x="39"/>
        <item x="13"/>
        <item x="48"/>
        <item x="6"/>
        <item x="46"/>
        <item x="40"/>
        <item x="62"/>
        <item x="1"/>
        <item x="29"/>
        <item x="50"/>
        <item x="32"/>
        <item x="18"/>
        <item x="21"/>
        <item x="25"/>
        <item x="19"/>
        <item x="44"/>
        <item x="57"/>
        <item x="52"/>
        <item x="56"/>
        <item x="51"/>
        <item x="8"/>
        <item x="31"/>
        <item x="64"/>
        <item x="49"/>
        <item x="2"/>
        <item x="59"/>
        <item x="22"/>
        <item x="34"/>
        <item x="43"/>
        <item x="12"/>
        <item x="3"/>
        <item x="27"/>
        <item x="5"/>
        <item x="24"/>
        <item x="35"/>
        <item x="67"/>
        <item x="63"/>
        <item t="default"/>
      </items>
    </pivotField>
    <pivotField dataField="1" numFmtId="1" showAll="0">
      <items count="61">
        <item x="19"/>
        <item x="28"/>
        <item x="7"/>
        <item x="59"/>
        <item x="26"/>
        <item x="50"/>
        <item x="34"/>
        <item x="2"/>
        <item x="30"/>
        <item x="48"/>
        <item x="3"/>
        <item x="51"/>
        <item x="42"/>
        <item x="10"/>
        <item x="8"/>
        <item x="49"/>
        <item x="53"/>
        <item x="23"/>
        <item x="35"/>
        <item x="41"/>
        <item x="56"/>
        <item x="57"/>
        <item x="54"/>
        <item x="24"/>
        <item x="33"/>
        <item x="15"/>
        <item x="44"/>
        <item x="9"/>
        <item x="32"/>
        <item x="39"/>
        <item x="17"/>
        <item x="16"/>
        <item x="46"/>
        <item x="25"/>
        <item x="29"/>
        <item x="22"/>
        <item x="55"/>
        <item x="14"/>
        <item x="36"/>
        <item x="20"/>
        <item x="5"/>
        <item x="27"/>
        <item x="45"/>
        <item x="58"/>
        <item x="43"/>
        <item x="12"/>
        <item x="47"/>
        <item x="31"/>
        <item x="0"/>
        <item x="13"/>
        <item x="38"/>
        <item x="4"/>
        <item x="37"/>
        <item x="52"/>
        <item x="6"/>
        <item x="18"/>
        <item x="40"/>
        <item x="1"/>
        <item x="21"/>
        <item x="11"/>
        <item t="default"/>
      </items>
    </pivotField>
    <pivotField numFmtId="1" showAll="0">
      <items count="63">
        <item x="32"/>
        <item x="59"/>
        <item x="9"/>
        <item x="42"/>
        <item x="48"/>
        <item x="34"/>
        <item x="41"/>
        <item x="50"/>
        <item x="52"/>
        <item x="49"/>
        <item x="3"/>
        <item x="23"/>
        <item x="46"/>
        <item x="56"/>
        <item x="29"/>
        <item x="12"/>
        <item x="24"/>
        <item x="39"/>
        <item x="31"/>
        <item x="6"/>
        <item x="19"/>
        <item x="21"/>
        <item x="0"/>
        <item x="44"/>
        <item x="11"/>
        <item x="37"/>
        <item x="38"/>
        <item x="35"/>
        <item x="4"/>
        <item x="45"/>
        <item x="8"/>
        <item x="27"/>
        <item x="36"/>
        <item x="2"/>
        <item x="40"/>
        <item x="54"/>
        <item x="57"/>
        <item x="13"/>
        <item x="25"/>
        <item x="43"/>
        <item x="26"/>
        <item x="15"/>
        <item x="55"/>
        <item x="17"/>
        <item x="1"/>
        <item x="47"/>
        <item x="30"/>
        <item x="22"/>
        <item x="60"/>
        <item x="58"/>
        <item x="51"/>
        <item x="18"/>
        <item x="28"/>
        <item x="20"/>
        <item x="33"/>
        <item x="5"/>
        <item x="7"/>
        <item x="14"/>
        <item x="61"/>
        <item x="16"/>
        <item x="53"/>
        <item x="10"/>
        <item t="default"/>
      </items>
    </pivotField>
    <pivotField numFmtId="1" showAll="0">
      <items count="79">
        <item x="31"/>
        <item x="60"/>
        <item x="11"/>
        <item x="51"/>
        <item x="34"/>
        <item x="33"/>
        <item x="49"/>
        <item x="10"/>
        <item x="61"/>
        <item x="38"/>
        <item x="77"/>
        <item x="32"/>
        <item x="17"/>
        <item x="48"/>
        <item x="16"/>
        <item x="69"/>
        <item x="59"/>
        <item x="28"/>
        <item x="18"/>
        <item x="8"/>
        <item x="22"/>
        <item x="63"/>
        <item x="6"/>
        <item x="74"/>
        <item x="29"/>
        <item x="72"/>
        <item x="44"/>
        <item x="55"/>
        <item x="42"/>
        <item x="15"/>
        <item x="27"/>
        <item x="76"/>
        <item x="41"/>
        <item x="9"/>
        <item x="56"/>
        <item x="40"/>
        <item x="37"/>
        <item x="39"/>
        <item x="46"/>
        <item x="5"/>
        <item x="0"/>
        <item x="1"/>
        <item x="19"/>
        <item x="25"/>
        <item x="54"/>
        <item x="52"/>
        <item x="26"/>
        <item x="43"/>
        <item x="45"/>
        <item x="66"/>
        <item x="2"/>
        <item x="50"/>
        <item x="21"/>
        <item x="62"/>
        <item x="14"/>
        <item x="36"/>
        <item x="20"/>
        <item x="3"/>
        <item x="24"/>
        <item x="70"/>
        <item x="30"/>
        <item x="73"/>
        <item x="7"/>
        <item x="68"/>
        <item x="65"/>
        <item x="13"/>
        <item x="64"/>
        <item x="35"/>
        <item x="47"/>
        <item x="67"/>
        <item x="58"/>
        <item x="75"/>
        <item x="53"/>
        <item x="23"/>
        <item x="57"/>
        <item x="12"/>
        <item x="4"/>
        <item x="7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2" showAll="0">
      <items count="101">
        <item x="10"/>
        <item x="18"/>
        <item x="32"/>
        <item x="16"/>
        <item x="42"/>
        <item x="43"/>
        <item x="80"/>
        <item x="75"/>
        <item x="46"/>
        <item x="41"/>
        <item x="11"/>
        <item x="64"/>
        <item x="29"/>
        <item x="52"/>
        <item x="17"/>
        <item x="85"/>
        <item x="25"/>
        <item x="76"/>
        <item x="58"/>
        <item x="15"/>
        <item x="90"/>
        <item x="36"/>
        <item x="51"/>
        <item x="74"/>
        <item x="70"/>
        <item x="56"/>
        <item x="73"/>
        <item x="63"/>
        <item x="48"/>
        <item x="0"/>
        <item x="89"/>
        <item x="37"/>
        <item x="94"/>
        <item x="77"/>
        <item x="61"/>
        <item x="98"/>
        <item x="81"/>
        <item x="44"/>
        <item x="71"/>
        <item x="31"/>
        <item x="88"/>
        <item x="2"/>
        <item x="65"/>
        <item x="35"/>
        <item x="49"/>
        <item x="22"/>
        <item x="34"/>
        <item x="4"/>
        <item x="20"/>
        <item x="13"/>
        <item x="83"/>
        <item x="6"/>
        <item x="26"/>
        <item x="87"/>
        <item x="99"/>
        <item x="30"/>
        <item x="7"/>
        <item x="68"/>
        <item x="24"/>
        <item x="69"/>
        <item x="79"/>
        <item x="84"/>
        <item x="62"/>
        <item x="59"/>
        <item x="95"/>
        <item x="72"/>
        <item x="8"/>
        <item x="54"/>
        <item x="28"/>
        <item x="91"/>
        <item x="47"/>
        <item x="66"/>
        <item x="78"/>
        <item x="60"/>
        <item x="38"/>
        <item x="82"/>
        <item x="12"/>
        <item x="45"/>
        <item x="19"/>
        <item x="14"/>
        <item x="21"/>
        <item x="33"/>
        <item x="67"/>
        <item x="93"/>
        <item x="1"/>
        <item x="97"/>
        <item x="23"/>
        <item x="5"/>
        <item x="40"/>
        <item x="9"/>
        <item x="39"/>
        <item x="96"/>
        <item x="92"/>
        <item x="55"/>
        <item x="27"/>
        <item x="3"/>
        <item x="86"/>
        <item x="57"/>
        <item x="53"/>
        <item x="50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3">
        <item x="0"/>
        <item x="1"/>
        <item t="default"/>
      </items>
    </pivotField>
    <pivotField numFmtId="1" showAll="0">
      <items count="3">
        <item x="0"/>
        <item x="1"/>
        <item t="default"/>
      </items>
    </pivotField>
    <pivotField numFmtId="1" showAll="0">
      <items count="11">
        <item x="1"/>
        <item x="6"/>
        <item x="4"/>
        <item x="2"/>
        <item x="3"/>
        <item x="5"/>
        <item x="0"/>
        <item x="9"/>
        <item x="8"/>
        <item x="7"/>
        <item t="default"/>
      </items>
    </pivotField>
    <pivotField numFmtId="1" showAll="0">
      <items count="3">
        <item x="1"/>
        <item x="0"/>
        <item t="default"/>
      </items>
    </pivotField>
    <pivotField numFmtId="1" showAll="0">
      <items count="11">
        <item x="0"/>
        <item x="8"/>
        <item x="2"/>
        <item x="3"/>
        <item x="1"/>
        <item x="4"/>
        <item x="7"/>
        <item x="6"/>
        <item x="5"/>
        <item x="9"/>
        <item t="default"/>
      </items>
    </pivotField>
  </pivotFields>
  <dataFields count="1">
    <dataField name="Average of Blood_Pressure" fld="3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indent="0" outline="1" outlineData="1" showDrill="1" multipleFieldFilters="0">
  <location ref="A3:A4" firstHeaderRow="1" firstDataRow="1" firstDataCol="0"/>
  <pivotFields count="14">
    <pivotField numFmtId="1" showAll="0">
      <items count="47">
        <item x="45"/>
        <item x="14"/>
        <item x="12"/>
        <item x="31"/>
        <item x="38"/>
        <item x="28"/>
        <item x="4"/>
        <item x="29"/>
        <item x="40"/>
        <item x="8"/>
        <item x="19"/>
        <item x="32"/>
        <item x="2"/>
        <item x="25"/>
        <item x="37"/>
        <item x="30"/>
        <item x="6"/>
        <item x="35"/>
        <item x="5"/>
        <item x="13"/>
        <item x="7"/>
        <item x="9"/>
        <item x="20"/>
        <item x="34"/>
        <item x="22"/>
        <item x="24"/>
        <item x="1"/>
        <item x="16"/>
        <item x="41"/>
        <item x="18"/>
        <item x="39"/>
        <item x="36"/>
        <item x="10"/>
        <item x="27"/>
        <item x="17"/>
        <item x="0"/>
        <item x="11"/>
        <item x="44"/>
        <item x="23"/>
        <item x="3"/>
        <item x="15"/>
        <item x="43"/>
        <item x="26"/>
        <item x="42"/>
        <item x="21"/>
        <item x="33"/>
        <item t="default"/>
      </items>
    </pivotField>
    <pivotField showAll="0">
      <items count="3">
        <item x="1"/>
        <item x="0"/>
        <item t="default"/>
      </items>
    </pivotField>
    <pivotField dataField="1" numFmtId="1" showAll="0">
      <items count="72">
        <item x="23"/>
        <item x="60"/>
        <item x="53"/>
        <item x="9"/>
        <item x="0"/>
        <item x="14"/>
        <item x="38"/>
        <item x="28"/>
        <item x="69"/>
        <item x="26"/>
        <item x="11"/>
        <item x="36"/>
        <item x="47"/>
        <item x="7"/>
        <item x="20"/>
        <item x="37"/>
        <item x="17"/>
        <item x="68"/>
        <item x="58"/>
        <item x="10"/>
        <item x="30"/>
        <item x="45"/>
        <item x="42"/>
        <item x="15"/>
        <item x="54"/>
        <item x="33"/>
        <item x="65"/>
        <item x="61"/>
        <item x="55"/>
        <item x="16"/>
        <item x="4"/>
        <item x="41"/>
        <item x="66"/>
        <item x="70"/>
        <item x="39"/>
        <item x="13"/>
        <item x="48"/>
        <item x="6"/>
        <item x="46"/>
        <item x="40"/>
        <item x="62"/>
        <item x="1"/>
        <item x="29"/>
        <item x="50"/>
        <item x="32"/>
        <item x="18"/>
        <item x="21"/>
        <item x="25"/>
        <item x="19"/>
        <item x="44"/>
        <item x="57"/>
        <item x="52"/>
        <item x="56"/>
        <item x="51"/>
        <item x="8"/>
        <item x="31"/>
        <item x="64"/>
        <item x="49"/>
        <item x="2"/>
        <item x="59"/>
        <item x="22"/>
        <item x="34"/>
        <item x="43"/>
        <item x="12"/>
        <item x="3"/>
        <item x="27"/>
        <item x="5"/>
        <item x="24"/>
        <item x="35"/>
        <item x="67"/>
        <item x="63"/>
        <item t="default"/>
      </items>
    </pivotField>
    <pivotField numFmtId="1" showAll="0">
      <items count="61">
        <item x="19"/>
        <item x="28"/>
        <item x="7"/>
        <item x="59"/>
        <item x="26"/>
        <item x="50"/>
        <item x="34"/>
        <item x="2"/>
        <item x="30"/>
        <item x="48"/>
        <item x="3"/>
        <item x="51"/>
        <item x="42"/>
        <item x="10"/>
        <item x="8"/>
        <item x="49"/>
        <item x="53"/>
        <item x="23"/>
        <item x="35"/>
        <item x="41"/>
        <item x="56"/>
        <item x="57"/>
        <item x="54"/>
        <item x="24"/>
        <item x="33"/>
        <item x="15"/>
        <item x="44"/>
        <item x="9"/>
        <item x="32"/>
        <item x="39"/>
        <item x="17"/>
        <item x="16"/>
        <item x="46"/>
        <item x="25"/>
        <item x="29"/>
        <item x="22"/>
        <item x="55"/>
        <item x="14"/>
        <item x="36"/>
        <item x="20"/>
        <item x="5"/>
        <item x="27"/>
        <item x="45"/>
        <item x="58"/>
        <item x="43"/>
        <item x="12"/>
        <item x="47"/>
        <item x="31"/>
        <item x="0"/>
        <item x="13"/>
        <item x="38"/>
        <item x="4"/>
        <item x="37"/>
        <item x="52"/>
        <item x="6"/>
        <item x="18"/>
        <item x="40"/>
        <item x="1"/>
        <item x="21"/>
        <item x="11"/>
        <item t="default"/>
      </items>
    </pivotField>
    <pivotField numFmtId="1" showAll="0">
      <items count="63">
        <item x="32"/>
        <item x="59"/>
        <item x="9"/>
        <item x="42"/>
        <item x="48"/>
        <item x="34"/>
        <item x="41"/>
        <item x="50"/>
        <item x="52"/>
        <item x="49"/>
        <item x="3"/>
        <item x="23"/>
        <item x="46"/>
        <item x="56"/>
        <item x="29"/>
        <item x="12"/>
        <item x="24"/>
        <item x="39"/>
        <item x="31"/>
        <item x="6"/>
        <item x="19"/>
        <item x="21"/>
        <item x="0"/>
        <item x="44"/>
        <item x="11"/>
        <item x="37"/>
        <item x="38"/>
        <item x="35"/>
        <item x="4"/>
        <item x="45"/>
        <item x="8"/>
        <item x="27"/>
        <item x="36"/>
        <item x="2"/>
        <item x="40"/>
        <item x="54"/>
        <item x="57"/>
        <item x="13"/>
        <item x="25"/>
        <item x="43"/>
        <item x="26"/>
        <item x="15"/>
        <item x="55"/>
        <item x="17"/>
        <item x="1"/>
        <item x="47"/>
        <item x="30"/>
        <item x="22"/>
        <item x="60"/>
        <item x="58"/>
        <item x="51"/>
        <item x="18"/>
        <item x="28"/>
        <item x="20"/>
        <item x="33"/>
        <item x="5"/>
        <item x="7"/>
        <item x="14"/>
        <item x="61"/>
        <item x="16"/>
        <item x="53"/>
        <item x="10"/>
        <item t="default"/>
      </items>
    </pivotField>
    <pivotField numFmtId="1" showAll="0">
      <items count="79">
        <item x="31"/>
        <item x="60"/>
        <item x="11"/>
        <item x="51"/>
        <item x="34"/>
        <item x="33"/>
        <item x="49"/>
        <item x="10"/>
        <item x="61"/>
        <item x="38"/>
        <item x="77"/>
        <item x="32"/>
        <item x="17"/>
        <item x="48"/>
        <item x="16"/>
        <item x="69"/>
        <item x="59"/>
        <item x="28"/>
        <item x="18"/>
        <item x="8"/>
        <item x="22"/>
        <item x="63"/>
        <item x="6"/>
        <item x="74"/>
        <item x="29"/>
        <item x="72"/>
        <item x="44"/>
        <item x="55"/>
        <item x="42"/>
        <item x="15"/>
        <item x="27"/>
        <item x="76"/>
        <item x="41"/>
        <item x="9"/>
        <item x="56"/>
        <item x="40"/>
        <item x="37"/>
        <item x="39"/>
        <item x="46"/>
        <item x="5"/>
        <item x="0"/>
        <item x="1"/>
        <item x="19"/>
        <item x="25"/>
        <item x="54"/>
        <item x="52"/>
        <item x="26"/>
        <item x="43"/>
        <item x="45"/>
        <item x="66"/>
        <item x="2"/>
        <item x="50"/>
        <item x="21"/>
        <item x="62"/>
        <item x="14"/>
        <item x="36"/>
        <item x="20"/>
        <item x="3"/>
        <item x="24"/>
        <item x="70"/>
        <item x="30"/>
        <item x="73"/>
        <item x="7"/>
        <item x="68"/>
        <item x="65"/>
        <item x="13"/>
        <item x="64"/>
        <item x="35"/>
        <item x="47"/>
        <item x="67"/>
        <item x="58"/>
        <item x="75"/>
        <item x="53"/>
        <item x="23"/>
        <item x="57"/>
        <item x="12"/>
        <item x="4"/>
        <item x="7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2" showAll="0">
      <items count="101">
        <item x="10"/>
        <item x="18"/>
        <item x="32"/>
        <item x="16"/>
        <item x="42"/>
        <item x="43"/>
        <item x="80"/>
        <item x="75"/>
        <item x="46"/>
        <item x="41"/>
        <item x="11"/>
        <item x="64"/>
        <item x="29"/>
        <item x="52"/>
        <item x="17"/>
        <item x="85"/>
        <item x="25"/>
        <item x="76"/>
        <item x="58"/>
        <item x="15"/>
        <item x="90"/>
        <item x="36"/>
        <item x="51"/>
        <item x="74"/>
        <item x="70"/>
        <item x="56"/>
        <item x="73"/>
        <item x="63"/>
        <item x="48"/>
        <item x="0"/>
        <item x="89"/>
        <item x="37"/>
        <item x="94"/>
        <item x="77"/>
        <item x="61"/>
        <item x="98"/>
        <item x="81"/>
        <item x="44"/>
        <item x="71"/>
        <item x="31"/>
        <item x="88"/>
        <item x="2"/>
        <item x="65"/>
        <item x="35"/>
        <item x="49"/>
        <item x="22"/>
        <item x="34"/>
        <item x="4"/>
        <item x="20"/>
        <item x="13"/>
        <item x="83"/>
        <item x="6"/>
        <item x="26"/>
        <item x="87"/>
        <item x="99"/>
        <item x="30"/>
        <item x="7"/>
        <item x="68"/>
        <item x="24"/>
        <item x="69"/>
        <item x="79"/>
        <item x="84"/>
        <item x="62"/>
        <item x="59"/>
        <item x="95"/>
        <item x="72"/>
        <item x="8"/>
        <item x="54"/>
        <item x="28"/>
        <item x="91"/>
        <item x="47"/>
        <item x="66"/>
        <item x="78"/>
        <item x="60"/>
        <item x="38"/>
        <item x="82"/>
        <item x="12"/>
        <item x="45"/>
        <item x="19"/>
        <item x="14"/>
        <item x="21"/>
        <item x="33"/>
        <item x="67"/>
        <item x="93"/>
        <item x="1"/>
        <item x="97"/>
        <item x="23"/>
        <item x="5"/>
        <item x="40"/>
        <item x="9"/>
        <item x="39"/>
        <item x="96"/>
        <item x="92"/>
        <item x="55"/>
        <item x="27"/>
        <item x="3"/>
        <item x="86"/>
        <item x="57"/>
        <item x="53"/>
        <item x="50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3">
        <item x="0"/>
        <item x="1"/>
        <item t="default"/>
      </items>
    </pivotField>
    <pivotField numFmtId="1" showAll="0">
      <items count="3">
        <item x="0"/>
        <item x="1"/>
        <item t="default"/>
      </items>
    </pivotField>
    <pivotField numFmtId="1" showAll="0">
      <items count="11">
        <item x="1"/>
        <item x="6"/>
        <item x="4"/>
        <item x="2"/>
        <item x="3"/>
        <item x="5"/>
        <item x="0"/>
        <item x="9"/>
        <item x="8"/>
        <item x="7"/>
        <item t="default"/>
      </items>
    </pivotField>
    <pivotField numFmtId="1" showAll="0">
      <items count="3">
        <item x="1"/>
        <item x="0"/>
        <item t="default"/>
      </items>
    </pivotField>
    <pivotField numFmtId="1" showAll="0">
      <items count="11">
        <item x="0"/>
        <item x="8"/>
        <item x="2"/>
        <item x="3"/>
        <item x="1"/>
        <item x="4"/>
        <item x="7"/>
        <item x="6"/>
        <item x="5"/>
        <item x="9"/>
        <item t="default"/>
      </items>
    </pivotField>
  </pivotFields>
  <dataFields count="1">
    <dataField name="Average of Cholesterol" fld="2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indent="0" outline="1" outlineData="1" showDrill="1" multipleFieldFilters="0" chartFormat="6">
  <location ref="A3:B6" firstHeaderRow="1" firstDataRow="1" firstDataCol="1"/>
  <pivotFields count="14">
    <pivotField dataField="1" numFmtId="1" showAll="0">
      <items count="47">
        <item x="45"/>
        <item x="14"/>
        <item x="12"/>
        <item x="31"/>
        <item x="38"/>
        <item x="28"/>
        <item x="4"/>
        <item x="29"/>
        <item x="40"/>
        <item x="8"/>
        <item x="19"/>
        <item x="32"/>
        <item x="2"/>
        <item x="25"/>
        <item x="37"/>
        <item x="30"/>
        <item x="6"/>
        <item x="35"/>
        <item x="5"/>
        <item x="13"/>
        <item x="7"/>
        <item x="9"/>
        <item x="20"/>
        <item x="34"/>
        <item x="22"/>
        <item x="24"/>
        <item x="1"/>
        <item x="16"/>
        <item x="41"/>
        <item x="18"/>
        <item x="39"/>
        <item x="36"/>
        <item x="10"/>
        <item x="27"/>
        <item x="17"/>
        <item x="0"/>
        <item x="11"/>
        <item x="44"/>
        <item x="23"/>
        <item x="3"/>
        <item x="15"/>
        <item x="43"/>
        <item x="26"/>
        <item x="42"/>
        <item x="21"/>
        <item x="33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72">
        <item x="23"/>
        <item x="60"/>
        <item x="53"/>
        <item x="9"/>
        <item x="0"/>
        <item x="14"/>
        <item x="38"/>
        <item x="28"/>
        <item x="69"/>
        <item x="26"/>
        <item x="11"/>
        <item x="36"/>
        <item x="47"/>
        <item x="7"/>
        <item x="20"/>
        <item x="37"/>
        <item x="17"/>
        <item x="68"/>
        <item x="58"/>
        <item x="10"/>
        <item x="30"/>
        <item x="45"/>
        <item x="42"/>
        <item x="15"/>
        <item x="54"/>
        <item x="33"/>
        <item x="65"/>
        <item x="61"/>
        <item x="55"/>
        <item x="16"/>
        <item x="4"/>
        <item x="41"/>
        <item x="66"/>
        <item x="70"/>
        <item x="39"/>
        <item x="13"/>
        <item x="48"/>
        <item x="6"/>
        <item x="46"/>
        <item x="40"/>
        <item x="62"/>
        <item x="1"/>
        <item x="29"/>
        <item x="50"/>
        <item x="32"/>
        <item x="18"/>
        <item x="21"/>
        <item x="25"/>
        <item x="19"/>
        <item x="44"/>
        <item x="57"/>
        <item x="52"/>
        <item x="56"/>
        <item x="51"/>
        <item x="8"/>
        <item x="31"/>
        <item x="64"/>
        <item x="49"/>
        <item x="2"/>
        <item x="59"/>
        <item x="22"/>
        <item x="34"/>
        <item x="43"/>
        <item x="12"/>
        <item x="3"/>
        <item x="27"/>
        <item x="5"/>
        <item x="24"/>
        <item x="35"/>
        <item x="67"/>
        <item x="63"/>
        <item t="default"/>
      </items>
    </pivotField>
    <pivotField numFmtId="1" showAll="0">
      <items count="61">
        <item x="19"/>
        <item x="28"/>
        <item x="7"/>
        <item x="59"/>
        <item x="26"/>
        <item x="50"/>
        <item x="34"/>
        <item x="2"/>
        <item x="30"/>
        <item x="48"/>
        <item x="3"/>
        <item x="51"/>
        <item x="42"/>
        <item x="10"/>
        <item x="8"/>
        <item x="49"/>
        <item x="53"/>
        <item x="23"/>
        <item x="35"/>
        <item x="41"/>
        <item x="56"/>
        <item x="57"/>
        <item x="54"/>
        <item x="24"/>
        <item x="33"/>
        <item x="15"/>
        <item x="44"/>
        <item x="9"/>
        <item x="32"/>
        <item x="39"/>
        <item x="17"/>
        <item x="16"/>
        <item x="46"/>
        <item x="25"/>
        <item x="29"/>
        <item x="22"/>
        <item x="55"/>
        <item x="14"/>
        <item x="36"/>
        <item x="20"/>
        <item x="5"/>
        <item x="27"/>
        <item x="45"/>
        <item x="58"/>
        <item x="43"/>
        <item x="12"/>
        <item x="47"/>
        <item x="31"/>
        <item x="0"/>
        <item x="13"/>
        <item x="38"/>
        <item x="4"/>
        <item x="37"/>
        <item x="52"/>
        <item x="6"/>
        <item x="18"/>
        <item x="40"/>
        <item x="1"/>
        <item x="21"/>
        <item x="11"/>
        <item t="default"/>
      </items>
    </pivotField>
    <pivotField numFmtId="1" showAll="0">
      <items count="63">
        <item x="32"/>
        <item x="59"/>
        <item x="9"/>
        <item x="42"/>
        <item x="48"/>
        <item x="34"/>
        <item x="41"/>
        <item x="50"/>
        <item x="52"/>
        <item x="49"/>
        <item x="3"/>
        <item x="23"/>
        <item x="46"/>
        <item x="56"/>
        <item x="29"/>
        <item x="12"/>
        <item x="24"/>
        <item x="39"/>
        <item x="31"/>
        <item x="6"/>
        <item x="19"/>
        <item x="21"/>
        <item x="0"/>
        <item x="44"/>
        <item x="11"/>
        <item x="37"/>
        <item x="38"/>
        <item x="35"/>
        <item x="4"/>
        <item x="45"/>
        <item x="8"/>
        <item x="27"/>
        <item x="36"/>
        <item x="2"/>
        <item x="40"/>
        <item x="54"/>
        <item x="57"/>
        <item x="13"/>
        <item x="25"/>
        <item x="43"/>
        <item x="26"/>
        <item x="15"/>
        <item x="55"/>
        <item x="17"/>
        <item x="1"/>
        <item x="47"/>
        <item x="30"/>
        <item x="22"/>
        <item x="60"/>
        <item x="58"/>
        <item x="51"/>
        <item x="18"/>
        <item x="28"/>
        <item x="20"/>
        <item x="33"/>
        <item x="5"/>
        <item x="7"/>
        <item x="14"/>
        <item x="61"/>
        <item x="16"/>
        <item x="53"/>
        <item x="10"/>
        <item t="default"/>
      </items>
    </pivotField>
    <pivotField numFmtId="1" showAll="0">
      <items count="79">
        <item x="31"/>
        <item x="60"/>
        <item x="11"/>
        <item x="51"/>
        <item x="34"/>
        <item x="33"/>
        <item x="49"/>
        <item x="10"/>
        <item x="61"/>
        <item x="38"/>
        <item x="77"/>
        <item x="32"/>
        <item x="17"/>
        <item x="48"/>
        <item x="16"/>
        <item x="69"/>
        <item x="59"/>
        <item x="28"/>
        <item x="18"/>
        <item x="8"/>
        <item x="22"/>
        <item x="63"/>
        <item x="6"/>
        <item x="74"/>
        <item x="29"/>
        <item x="72"/>
        <item x="44"/>
        <item x="55"/>
        <item x="42"/>
        <item x="15"/>
        <item x="27"/>
        <item x="76"/>
        <item x="41"/>
        <item x="9"/>
        <item x="56"/>
        <item x="40"/>
        <item x="37"/>
        <item x="39"/>
        <item x="46"/>
        <item x="5"/>
        <item x="0"/>
        <item x="1"/>
        <item x="19"/>
        <item x="25"/>
        <item x="54"/>
        <item x="52"/>
        <item x="26"/>
        <item x="43"/>
        <item x="45"/>
        <item x="66"/>
        <item x="2"/>
        <item x="50"/>
        <item x="21"/>
        <item x="62"/>
        <item x="14"/>
        <item x="36"/>
        <item x="20"/>
        <item x="3"/>
        <item x="24"/>
        <item x="70"/>
        <item x="30"/>
        <item x="73"/>
        <item x="7"/>
        <item x="68"/>
        <item x="65"/>
        <item x="13"/>
        <item x="64"/>
        <item x="35"/>
        <item x="47"/>
        <item x="67"/>
        <item x="58"/>
        <item x="75"/>
        <item x="53"/>
        <item x="23"/>
        <item x="57"/>
        <item x="12"/>
        <item x="4"/>
        <item x="7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2" showAll="0">
      <items count="101">
        <item x="10"/>
        <item x="18"/>
        <item x="32"/>
        <item x="16"/>
        <item x="42"/>
        <item x="43"/>
        <item x="80"/>
        <item x="75"/>
        <item x="46"/>
        <item x="41"/>
        <item x="11"/>
        <item x="64"/>
        <item x="29"/>
        <item x="52"/>
        <item x="17"/>
        <item x="85"/>
        <item x="25"/>
        <item x="76"/>
        <item x="58"/>
        <item x="15"/>
        <item x="90"/>
        <item x="36"/>
        <item x="51"/>
        <item x="74"/>
        <item x="70"/>
        <item x="56"/>
        <item x="73"/>
        <item x="63"/>
        <item x="48"/>
        <item x="0"/>
        <item x="89"/>
        <item x="37"/>
        <item x="94"/>
        <item x="77"/>
        <item x="61"/>
        <item x="98"/>
        <item x="81"/>
        <item x="44"/>
        <item x="71"/>
        <item x="31"/>
        <item x="88"/>
        <item x="2"/>
        <item x="65"/>
        <item x="35"/>
        <item x="49"/>
        <item x="22"/>
        <item x="34"/>
        <item x="4"/>
        <item x="20"/>
        <item x="13"/>
        <item x="83"/>
        <item x="6"/>
        <item x="26"/>
        <item x="87"/>
        <item x="99"/>
        <item x="30"/>
        <item x="7"/>
        <item x="68"/>
        <item x="24"/>
        <item x="69"/>
        <item x="79"/>
        <item x="84"/>
        <item x="62"/>
        <item x="59"/>
        <item x="95"/>
        <item x="72"/>
        <item x="8"/>
        <item x="54"/>
        <item x="28"/>
        <item x="91"/>
        <item x="47"/>
        <item x="66"/>
        <item x="78"/>
        <item x="60"/>
        <item x="38"/>
        <item x="82"/>
        <item x="12"/>
        <item x="45"/>
        <item x="19"/>
        <item x="14"/>
        <item x="21"/>
        <item x="33"/>
        <item x="67"/>
        <item x="93"/>
        <item x="1"/>
        <item x="97"/>
        <item x="23"/>
        <item x="5"/>
        <item x="40"/>
        <item x="9"/>
        <item x="39"/>
        <item x="96"/>
        <item x="92"/>
        <item x="55"/>
        <item x="27"/>
        <item x="3"/>
        <item x="86"/>
        <item x="57"/>
        <item x="53"/>
        <item x="50"/>
        <item t="default"/>
      </items>
    </pivotField>
    <pivotField axis="axisRow" showAll="0">
      <items count="3">
        <item x="0"/>
        <item x="1"/>
        <item t="default"/>
      </items>
    </pivotField>
    <pivotField numFmtId="1" showAll="0">
      <items count="3">
        <item x="0"/>
        <item x="1"/>
        <item t="default"/>
      </items>
    </pivotField>
    <pivotField numFmtId="1" showAll="0">
      <items count="3">
        <item x="0"/>
        <item x="1"/>
        <item t="default"/>
      </items>
    </pivotField>
    <pivotField numFmtId="1" showAll="0">
      <items count="11">
        <item x="1"/>
        <item x="6"/>
        <item x="4"/>
        <item x="2"/>
        <item x="3"/>
        <item x="5"/>
        <item x="0"/>
        <item x="9"/>
        <item x="8"/>
        <item x="7"/>
        <item t="default"/>
      </items>
    </pivotField>
    <pivotField numFmtId="1" showAll="0">
      <items count="3">
        <item x="1"/>
        <item x="0"/>
        <item t="default"/>
      </items>
    </pivotField>
    <pivotField numFmtId="1" showAll="0">
      <items count="11">
        <item x="0"/>
        <item x="8"/>
        <item x="2"/>
        <item x="3"/>
        <item x="1"/>
        <item x="4"/>
        <item x="7"/>
        <item x="6"/>
        <item x="5"/>
        <item x="9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Age" fld="0" subtotal="count" baseField="8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indent="0" outline="1" outlineData="1" showDrill="1" multipleFieldFilters="0" chartFormat="12">
  <location ref="A3:B6" firstHeaderRow="1" firstDataRow="1" firstDataCol="1"/>
  <pivotFields count="14">
    <pivotField numFmtId="1" showAll="0">
      <items count="47">
        <item x="45"/>
        <item x="14"/>
        <item x="12"/>
        <item x="31"/>
        <item x="38"/>
        <item x="28"/>
        <item x="4"/>
        <item x="29"/>
        <item x="40"/>
        <item x="8"/>
        <item x="19"/>
        <item x="32"/>
        <item x="2"/>
        <item x="25"/>
        <item x="37"/>
        <item x="30"/>
        <item x="6"/>
        <item x="35"/>
        <item x="5"/>
        <item x="13"/>
        <item x="7"/>
        <item x="9"/>
        <item x="20"/>
        <item x="34"/>
        <item x="22"/>
        <item x="24"/>
        <item x="1"/>
        <item x="16"/>
        <item x="41"/>
        <item x="18"/>
        <item x="39"/>
        <item x="36"/>
        <item x="10"/>
        <item x="27"/>
        <item x="17"/>
        <item x="0"/>
        <item x="11"/>
        <item x="44"/>
        <item x="23"/>
        <item x="3"/>
        <item x="15"/>
        <item x="43"/>
        <item x="26"/>
        <item x="42"/>
        <item x="21"/>
        <item x="33"/>
        <item t="default"/>
      </items>
    </pivotField>
    <pivotField axis="axisRow" showAll="0">
      <items count="3">
        <item x="1"/>
        <item x="0"/>
        <item t="default"/>
      </items>
    </pivotField>
    <pivotField numFmtId="1" showAll="0">
      <items count="72">
        <item x="23"/>
        <item x="60"/>
        <item x="53"/>
        <item x="9"/>
        <item x="0"/>
        <item x="14"/>
        <item x="38"/>
        <item x="28"/>
        <item x="69"/>
        <item x="26"/>
        <item x="11"/>
        <item x="36"/>
        <item x="47"/>
        <item x="7"/>
        <item x="20"/>
        <item x="37"/>
        <item x="17"/>
        <item x="68"/>
        <item x="58"/>
        <item x="10"/>
        <item x="30"/>
        <item x="45"/>
        <item x="42"/>
        <item x="15"/>
        <item x="54"/>
        <item x="33"/>
        <item x="65"/>
        <item x="61"/>
        <item x="55"/>
        <item x="16"/>
        <item x="4"/>
        <item x="41"/>
        <item x="66"/>
        <item x="70"/>
        <item x="39"/>
        <item x="13"/>
        <item x="48"/>
        <item x="6"/>
        <item x="46"/>
        <item x="40"/>
        <item x="62"/>
        <item x="1"/>
        <item x="29"/>
        <item x="50"/>
        <item x="32"/>
        <item x="18"/>
        <item x="21"/>
        <item x="25"/>
        <item x="19"/>
        <item x="44"/>
        <item x="57"/>
        <item x="52"/>
        <item x="56"/>
        <item x="51"/>
        <item x="8"/>
        <item x="31"/>
        <item x="64"/>
        <item x="49"/>
        <item x="2"/>
        <item x="59"/>
        <item x="22"/>
        <item x="34"/>
        <item x="43"/>
        <item x="12"/>
        <item x="3"/>
        <item x="27"/>
        <item x="5"/>
        <item x="24"/>
        <item x="35"/>
        <item x="67"/>
        <item x="63"/>
        <item t="default"/>
      </items>
    </pivotField>
    <pivotField numFmtId="1" showAll="0">
      <items count="61">
        <item x="19"/>
        <item x="28"/>
        <item x="7"/>
        <item x="59"/>
        <item x="26"/>
        <item x="50"/>
        <item x="34"/>
        <item x="2"/>
        <item x="30"/>
        <item x="48"/>
        <item x="3"/>
        <item x="51"/>
        <item x="42"/>
        <item x="10"/>
        <item x="8"/>
        <item x="49"/>
        <item x="53"/>
        <item x="23"/>
        <item x="35"/>
        <item x="41"/>
        <item x="56"/>
        <item x="57"/>
        <item x="54"/>
        <item x="24"/>
        <item x="33"/>
        <item x="15"/>
        <item x="44"/>
        <item x="9"/>
        <item x="32"/>
        <item x="39"/>
        <item x="17"/>
        <item x="16"/>
        <item x="46"/>
        <item x="25"/>
        <item x="29"/>
        <item x="22"/>
        <item x="55"/>
        <item x="14"/>
        <item x="36"/>
        <item x="20"/>
        <item x="5"/>
        <item x="27"/>
        <item x="45"/>
        <item x="58"/>
        <item x="43"/>
        <item x="12"/>
        <item x="47"/>
        <item x="31"/>
        <item x="0"/>
        <item x="13"/>
        <item x="38"/>
        <item x="4"/>
        <item x="37"/>
        <item x="52"/>
        <item x="6"/>
        <item x="18"/>
        <item x="40"/>
        <item x="1"/>
        <item x="21"/>
        <item x="11"/>
        <item t="default"/>
      </items>
    </pivotField>
    <pivotField numFmtId="1" showAll="0">
      <items count="63">
        <item x="32"/>
        <item x="59"/>
        <item x="9"/>
        <item x="42"/>
        <item x="48"/>
        <item x="34"/>
        <item x="41"/>
        <item x="50"/>
        <item x="52"/>
        <item x="49"/>
        <item x="3"/>
        <item x="23"/>
        <item x="46"/>
        <item x="56"/>
        <item x="29"/>
        <item x="12"/>
        <item x="24"/>
        <item x="39"/>
        <item x="31"/>
        <item x="6"/>
        <item x="19"/>
        <item x="21"/>
        <item x="0"/>
        <item x="44"/>
        <item x="11"/>
        <item x="37"/>
        <item x="38"/>
        <item x="35"/>
        <item x="4"/>
        <item x="45"/>
        <item x="8"/>
        <item x="27"/>
        <item x="36"/>
        <item x="2"/>
        <item x="40"/>
        <item x="54"/>
        <item x="57"/>
        <item x="13"/>
        <item x="25"/>
        <item x="43"/>
        <item x="26"/>
        <item x="15"/>
        <item x="55"/>
        <item x="17"/>
        <item x="1"/>
        <item x="47"/>
        <item x="30"/>
        <item x="22"/>
        <item x="60"/>
        <item x="58"/>
        <item x="51"/>
        <item x="18"/>
        <item x="28"/>
        <item x="20"/>
        <item x="33"/>
        <item x="5"/>
        <item x="7"/>
        <item x="14"/>
        <item x="61"/>
        <item x="16"/>
        <item x="53"/>
        <item x="10"/>
        <item t="default"/>
      </items>
    </pivotField>
    <pivotField numFmtId="1" showAll="0">
      <items count="79">
        <item x="31"/>
        <item x="60"/>
        <item x="11"/>
        <item x="51"/>
        <item x="34"/>
        <item x="33"/>
        <item x="49"/>
        <item x="10"/>
        <item x="61"/>
        <item x="38"/>
        <item x="77"/>
        <item x="32"/>
        <item x="17"/>
        <item x="48"/>
        <item x="16"/>
        <item x="69"/>
        <item x="59"/>
        <item x="28"/>
        <item x="18"/>
        <item x="8"/>
        <item x="22"/>
        <item x="63"/>
        <item x="6"/>
        <item x="74"/>
        <item x="29"/>
        <item x="72"/>
        <item x="44"/>
        <item x="55"/>
        <item x="42"/>
        <item x="15"/>
        <item x="27"/>
        <item x="76"/>
        <item x="41"/>
        <item x="9"/>
        <item x="56"/>
        <item x="40"/>
        <item x="37"/>
        <item x="39"/>
        <item x="46"/>
        <item x="5"/>
        <item x="0"/>
        <item x="1"/>
        <item x="19"/>
        <item x="25"/>
        <item x="54"/>
        <item x="52"/>
        <item x="26"/>
        <item x="43"/>
        <item x="45"/>
        <item x="66"/>
        <item x="2"/>
        <item x="50"/>
        <item x="21"/>
        <item x="62"/>
        <item x="14"/>
        <item x="36"/>
        <item x="20"/>
        <item x="3"/>
        <item x="24"/>
        <item x="70"/>
        <item x="30"/>
        <item x="73"/>
        <item x="7"/>
        <item x="68"/>
        <item x="65"/>
        <item x="13"/>
        <item x="64"/>
        <item x="35"/>
        <item x="47"/>
        <item x="67"/>
        <item x="58"/>
        <item x="75"/>
        <item x="53"/>
        <item x="23"/>
        <item x="57"/>
        <item x="12"/>
        <item x="4"/>
        <item x="7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dataField="1" numFmtId="2" showAll="0">
      <items count="101">
        <item x="10"/>
        <item x="18"/>
        <item x="32"/>
        <item x="16"/>
        <item x="42"/>
        <item x="43"/>
        <item x="80"/>
        <item x="75"/>
        <item x="46"/>
        <item x="41"/>
        <item x="11"/>
        <item x="64"/>
        <item x="29"/>
        <item x="52"/>
        <item x="17"/>
        <item x="85"/>
        <item x="25"/>
        <item x="76"/>
        <item x="58"/>
        <item x="15"/>
        <item x="90"/>
        <item x="36"/>
        <item x="51"/>
        <item x="74"/>
        <item x="70"/>
        <item x="56"/>
        <item x="73"/>
        <item x="63"/>
        <item x="48"/>
        <item x="0"/>
        <item x="89"/>
        <item x="37"/>
        <item x="94"/>
        <item x="77"/>
        <item x="61"/>
        <item x="98"/>
        <item x="81"/>
        <item x="44"/>
        <item x="71"/>
        <item x="31"/>
        <item x="88"/>
        <item x="2"/>
        <item x="65"/>
        <item x="35"/>
        <item x="49"/>
        <item x="22"/>
        <item x="34"/>
        <item x="4"/>
        <item x="20"/>
        <item x="13"/>
        <item x="83"/>
        <item x="6"/>
        <item x="26"/>
        <item x="87"/>
        <item x="99"/>
        <item x="30"/>
        <item x="7"/>
        <item x="68"/>
        <item x="24"/>
        <item x="69"/>
        <item x="79"/>
        <item x="84"/>
        <item x="62"/>
        <item x="59"/>
        <item x="95"/>
        <item x="72"/>
        <item x="8"/>
        <item x="54"/>
        <item x="28"/>
        <item x="91"/>
        <item x="47"/>
        <item x="66"/>
        <item x="78"/>
        <item x="60"/>
        <item x="38"/>
        <item x="82"/>
        <item x="12"/>
        <item x="45"/>
        <item x="19"/>
        <item x="14"/>
        <item x="21"/>
        <item x="33"/>
        <item x="67"/>
        <item x="93"/>
        <item x="1"/>
        <item x="97"/>
        <item x="23"/>
        <item x="5"/>
        <item x="40"/>
        <item x="9"/>
        <item x="39"/>
        <item x="96"/>
        <item x="92"/>
        <item x="55"/>
        <item x="27"/>
        <item x="3"/>
        <item x="86"/>
        <item x="57"/>
        <item x="53"/>
        <item x="50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3">
        <item x="0"/>
        <item x="1"/>
        <item t="default"/>
      </items>
    </pivotField>
    <pivotField numFmtId="1" showAll="0">
      <items count="3">
        <item x="0"/>
        <item x="1"/>
        <item t="default"/>
      </items>
    </pivotField>
    <pivotField numFmtId="1" showAll="0">
      <items count="11">
        <item x="1"/>
        <item x="6"/>
        <item x="4"/>
        <item x="2"/>
        <item x="3"/>
        <item x="5"/>
        <item x="0"/>
        <item x="9"/>
        <item x="8"/>
        <item x="7"/>
        <item t="default"/>
      </items>
    </pivotField>
    <pivotField numFmtId="1" showAll="0">
      <items count="3">
        <item x="1"/>
        <item x="0"/>
        <item t="default"/>
      </items>
    </pivotField>
    <pivotField numFmtId="1" showAll="0">
      <items count="11">
        <item x="0"/>
        <item x="8"/>
        <item x="2"/>
        <item x="3"/>
        <item x="1"/>
        <item x="4"/>
        <item x="7"/>
        <item x="6"/>
        <item x="5"/>
        <item x="9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Heart_Risk_Score" fld="7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indent="0" outline="1" outlineData="1" showDrill="1" multipleFieldFilters="0" chartFormat="10">
  <location ref="A3:B8" firstHeaderRow="1" firstDataRow="1" firstDataCol="1"/>
  <pivotFields count="14">
    <pivotField numFmtId="1" showAll="0">
      <items count="47">
        <item x="45"/>
        <item x="14"/>
        <item x="12"/>
        <item x="31"/>
        <item x="38"/>
        <item x="28"/>
        <item x="4"/>
        <item x="29"/>
        <item x="40"/>
        <item x="8"/>
        <item x="19"/>
        <item x="32"/>
        <item x="2"/>
        <item x="25"/>
        <item x="37"/>
        <item x="30"/>
        <item x="6"/>
        <item x="35"/>
        <item x="5"/>
        <item x="13"/>
        <item x="7"/>
        <item x="9"/>
        <item x="20"/>
        <item x="34"/>
        <item x="22"/>
        <item x="24"/>
        <item x="1"/>
        <item x="16"/>
        <item x="41"/>
        <item x="18"/>
        <item x="39"/>
        <item x="36"/>
        <item x="10"/>
        <item x="27"/>
        <item x="17"/>
        <item x="0"/>
        <item x="11"/>
        <item x="44"/>
        <item x="23"/>
        <item x="3"/>
        <item x="15"/>
        <item x="43"/>
        <item x="26"/>
        <item x="42"/>
        <item x="21"/>
        <item x="33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72">
        <item x="23"/>
        <item x="60"/>
        <item x="53"/>
        <item x="9"/>
        <item x="0"/>
        <item x="14"/>
        <item x="38"/>
        <item x="28"/>
        <item x="69"/>
        <item x="26"/>
        <item x="11"/>
        <item x="36"/>
        <item x="47"/>
        <item x="7"/>
        <item x="20"/>
        <item x="37"/>
        <item x="17"/>
        <item x="68"/>
        <item x="58"/>
        <item x="10"/>
        <item x="30"/>
        <item x="45"/>
        <item x="42"/>
        <item x="15"/>
        <item x="54"/>
        <item x="33"/>
        <item x="65"/>
        <item x="61"/>
        <item x="55"/>
        <item x="16"/>
        <item x="4"/>
        <item x="41"/>
        <item x="66"/>
        <item x="70"/>
        <item x="39"/>
        <item x="13"/>
        <item x="48"/>
        <item x="6"/>
        <item x="46"/>
        <item x="40"/>
        <item x="62"/>
        <item x="1"/>
        <item x="29"/>
        <item x="50"/>
        <item x="32"/>
        <item x="18"/>
        <item x="21"/>
        <item x="25"/>
        <item x="19"/>
        <item x="44"/>
        <item x="57"/>
        <item x="52"/>
        <item x="56"/>
        <item x="51"/>
        <item x="8"/>
        <item x="31"/>
        <item x="64"/>
        <item x="49"/>
        <item x="2"/>
        <item x="59"/>
        <item x="22"/>
        <item x="34"/>
        <item x="43"/>
        <item x="12"/>
        <item x="3"/>
        <item x="27"/>
        <item x="5"/>
        <item x="24"/>
        <item x="35"/>
        <item x="67"/>
        <item x="63"/>
        <item t="default"/>
      </items>
    </pivotField>
    <pivotField numFmtId="1" showAll="0">
      <items count="61">
        <item x="19"/>
        <item x="28"/>
        <item x="7"/>
        <item x="59"/>
        <item x="26"/>
        <item x="50"/>
        <item x="34"/>
        <item x="2"/>
        <item x="30"/>
        <item x="48"/>
        <item x="3"/>
        <item x="51"/>
        <item x="42"/>
        <item x="10"/>
        <item x="8"/>
        <item x="49"/>
        <item x="53"/>
        <item x="23"/>
        <item x="35"/>
        <item x="41"/>
        <item x="56"/>
        <item x="57"/>
        <item x="54"/>
        <item x="24"/>
        <item x="33"/>
        <item x="15"/>
        <item x="44"/>
        <item x="9"/>
        <item x="32"/>
        <item x="39"/>
        <item x="17"/>
        <item x="16"/>
        <item x="46"/>
        <item x="25"/>
        <item x="29"/>
        <item x="22"/>
        <item x="55"/>
        <item x="14"/>
        <item x="36"/>
        <item x="20"/>
        <item x="5"/>
        <item x="27"/>
        <item x="45"/>
        <item x="58"/>
        <item x="43"/>
        <item x="12"/>
        <item x="47"/>
        <item x="31"/>
        <item x="0"/>
        <item x="13"/>
        <item x="38"/>
        <item x="4"/>
        <item x="37"/>
        <item x="52"/>
        <item x="6"/>
        <item x="18"/>
        <item x="40"/>
        <item x="1"/>
        <item x="21"/>
        <item x="11"/>
        <item t="default"/>
      </items>
    </pivotField>
    <pivotField numFmtId="1" showAll="0">
      <items count="63">
        <item x="32"/>
        <item x="59"/>
        <item x="9"/>
        <item x="42"/>
        <item x="48"/>
        <item x="34"/>
        <item x="41"/>
        <item x="50"/>
        <item x="52"/>
        <item x="49"/>
        <item x="3"/>
        <item x="23"/>
        <item x="46"/>
        <item x="56"/>
        <item x="29"/>
        <item x="12"/>
        <item x="24"/>
        <item x="39"/>
        <item x="31"/>
        <item x="6"/>
        <item x="19"/>
        <item x="21"/>
        <item x="0"/>
        <item x="44"/>
        <item x="11"/>
        <item x="37"/>
        <item x="38"/>
        <item x="35"/>
        <item x="4"/>
        <item x="45"/>
        <item x="8"/>
        <item x="27"/>
        <item x="36"/>
        <item x="2"/>
        <item x="40"/>
        <item x="54"/>
        <item x="57"/>
        <item x="13"/>
        <item x="25"/>
        <item x="43"/>
        <item x="26"/>
        <item x="15"/>
        <item x="55"/>
        <item x="17"/>
        <item x="1"/>
        <item x="47"/>
        <item x="30"/>
        <item x="22"/>
        <item x="60"/>
        <item x="58"/>
        <item x="51"/>
        <item x="18"/>
        <item x="28"/>
        <item x="20"/>
        <item x="33"/>
        <item x="5"/>
        <item x="7"/>
        <item x="14"/>
        <item x="61"/>
        <item x="16"/>
        <item x="53"/>
        <item x="10"/>
        <item t="default"/>
      </items>
    </pivotField>
    <pivotField numFmtId="1" showAll="0">
      <items count="79">
        <item x="31"/>
        <item x="60"/>
        <item x="11"/>
        <item x="51"/>
        <item x="34"/>
        <item x="33"/>
        <item x="49"/>
        <item x="10"/>
        <item x="61"/>
        <item x="38"/>
        <item x="77"/>
        <item x="32"/>
        <item x="17"/>
        <item x="48"/>
        <item x="16"/>
        <item x="69"/>
        <item x="59"/>
        <item x="28"/>
        <item x="18"/>
        <item x="8"/>
        <item x="22"/>
        <item x="63"/>
        <item x="6"/>
        <item x="74"/>
        <item x="29"/>
        <item x="72"/>
        <item x="44"/>
        <item x="55"/>
        <item x="42"/>
        <item x="15"/>
        <item x="27"/>
        <item x="76"/>
        <item x="41"/>
        <item x="9"/>
        <item x="56"/>
        <item x="40"/>
        <item x="37"/>
        <item x="39"/>
        <item x="46"/>
        <item x="5"/>
        <item x="0"/>
        <item x="1"/>
        <item x="19"/>
        <item x="25"/>
        <item x="54"/>
        <item x="52"/>
        <item x="26"/>
        <item x="43"/>
        <item x="45"/>
        <item x="66"/>
        <item x="2"/>
        <item x="50"/>
        <item x="21"/>
        <item x="62"/>
        <item x="14"/>
        <item x="36"/>
        <item x="20"/>
        <item x="3"/>
        <item x="24"/>
        <item x="70"/>
        <item x="30"/>
        <item x="73"/>
        <item x="7"/>
        <item x="68"/>
        <item x="65"/>
        <item x="13"/>
        <item x="64"/>
        <item x="35"/>
        <item x="47"/>
        <item x="67"/>
        <item x="58"/>
        <item x="75"/>
        <item x="53"/>
        <item x="23"/>
        <item x="57"/>
        <item x="12"/>
        <item x="4"/>
        <item x="71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dataField="1" numFmtId="2" showAll="0">
      <items count="101">
        <item x="10"/>
        <item x="18"/>
        <item x="32"/>
        <item x="16"/>
        <item x="42"/>
        <item x="43"/>
        <item x="80"/>
        <item x="75"/>
        <item x="46"/>
        <item x="41"/>
        <item x="11"/>
        <item x="64"/>
        <item x="29"/>
        <item x="52"/>
        <item x="17"/>
        <item x="85"/>
        <item x="25"/>
        <item x="76"/>
        <item x="58"/>
        <item x="15"/>
        <item x="90"/>
        <item x="36"/>
        <item x="51"/>
        <item x="74"/>
        <item x="70"/>
        <item x="56"/>
        <item x="73"/>
        <item x="63"/>
        <item x="48"/>
        <item x="0"/>
        <item x="89"/>
        <item x="37"/>
        <item x="94"/>
        <item x="77"/>
        <item x="61"/>
        <item x="98"/>
        <item x="81"/>
        <item x="44"/>
        <item x="71"/>
        <item x="31"/>
        <item x="88"/>
        <item x="2"/>
        <item x="65"/>
        <item x="35"/>
        <item x="49"/>
        <item x="22"/>
        <item x="34"/>
        <item x="4"/>
        <item x="20"/>
        <item x="13"/>
        <item x="83"/>
        <item x="6"/>
        <item x="26"/>
        <item x="87"/>
        <item x="99"/>
        <item x="30"/>
        <item x="7"/>
        <item x="68"/>
        <item x="24"/>
        <item x="69"/>
        <item x="79"/>
        <item x="84"/>
        <item x="62"/>
        <item x="59"/>
        <item x="95"/>
        <item x="72"/>
        <item x="8"/>
        <item x="54"/>
        <item x="28"/>
        <item x="91"/>
        <item x="47"/>
        <item x="66"/>
        <item x="78"/>
        <item x="60"/>
        <item x="38"/>
        <item x="82"/>
        <item x="12"/>
        <item x="45"/>
        <item x="19"/>
        <item x="14"/>
        <item x="21"/>
        <item x="33"/>
        <item x="67"/>
        <item x="93"/>
        <item x="1"/>
        <item x="97"/>
        <item x="23"/>
        <item x="5"/>
        <item x="40"/>
        <item x="9"/>
        <item x="39"/>
        <item x="96"/>
        <item x="92"/>
        <item x="55"/>
        <item x="27"/>
        <item x="3"/>
        <item x="86"/>
        <item x="57"/>
        <item x="53"/>
        <item x="50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3">
        <item x="0"/>
        <item x="1"/>
        <item t="default"/>
      </items>
    </pivotField>
    <pivotField numFmtId="1" showAll="0">
      <items count="3">
        <item x="0"/>
        <item x="1"/>
        <item t="default"/>
      </items>
    </pivotField>
    <pivotField numFmtId="1" showAll="0">
      <items count="11">
        <item x="1"/>
        <item x="6"/>
        <item x="4"/>
        <item x="2"/>
        <item x="3"/>
        <item x="5"/>
        <item x="0"/>
        <item x="9"/>
        <item x="8"/>
        <item x="7"/>
        <item t="default"/>
      </items>
    </pivotField>
    <pivotField numFmtId="1" showAll="0">
      <items count="3">
        <item x="1"/>
        <item x="0"/>
        <item t="default"/>
      </items>
    </pivotField>
    <pivotField numFmtId="1" showAll="0">
      <items count="11">
        <item x="0"/>
        <item x="8"/>
        <item x="2"/>
        <item x="3"/>
        <item x="1"/>
        <item x="4"/>
        <item x="7"/>
        <item x="6"/>
        <item x="5"/>
        <item x="9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Heart_Risk_Score" fld="7" subtotal="average" showDataAs="percentOfTotal" baseField="6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indent="0" outline="1" outlineData="1" showDrill="1" multipleFieldFilters="0" chartFormat="17">
  <location ref="A3:B6" firstHeaderRow="1" firstDataRow="1" firstDataCol="1"/>
  <pivotFields count="14">
    <pivotField numFmtId="1" showAll="0">
      <items count="47">
        <item x="45"/>
        <item x="14"/>
        <item x="12"/>
        <item x="31"/>
        <item x="38"/>
        <item x="28"/>
        <item x="4"/>
        <item x="29"/>
        <item x="40"/>
        <item x="8"/>
        <item x="19"/>
        <item x="32"/>
        <item x="2"/>
        <item x="25"/>
        <item x="37"/>
        <item x="30"/>
        <item x="6"/>
        <item x="35"/>
        <item x="5"/>
        <item x="13"/>
        <item x="7"/>
        <item x="9"/>
        <item x="20"/>
        <item x="34"/>
        <item x="22"/>
        <item x="24"/>
        <item x="1"/>
        <item x="16"/>
        <item x="41"/>
        <item x="18"/>
        <item x="39"/>
        <item x="36"/>
        <item x="10"/>
        <item x="27"/>
        <item x="17"/>
        <item x="0"/>
        <item x="11"/>
        <item x="44"/>
        <item x="23"/>
        <item x="3"/>
        <item x="15"/>
        <item x="43"/>
        <item x="26"/>
        <item x="42"/>
        <item x="21"/>
        <item x="33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72">
        <item x="23"/>
        <item x="60"/>
        <item x="53"/>
        <item x="9"/>
        <item x="0"/>
        <item x="14"/>
        <item x="38"/>
        <item x="28"/>
        <item x="69"/>
        <item x="26"/>
        <item x="11"/>
        <item x="36"/>
        <item x="47"/>
        <item x="7"/>
        <item x="20"/>
        <item x="37"/>
        <item x="17"/>
        <item x="68"/>
        <item x="58"/>
        <item x="10"/>
        <item x="30"/>
        <item x="45"/>
        <item x="42"/>
        <item x="15"/>
        <item x="54"/>
        <item x="33"/>
        <item x="65"/>
        <item x="61"/>
        <item x="55"/>
        <item x="16"/>
        <item x="4"/>
        <item x="41"/>
        <item x="66"/>
        <item x="70"/>
        <item x="39"/>
        <item x="13"/>
        <item x="48"/>
        <item x="6"/>
        <item x="46"/>
        <item x="40"/>
        <item x="62"/>
        <item x="1"/>
        <item x="29"/>
        <item x="50"/>
        <item x="32"/>
        <item x="18"/>
        <item x="21"/>
        <item x="25"/>
        <item x="19"/>
        <item x="44"/>
        <item x="57"/>
        <item x="52"/>
        <item x="56"/>
        <item x="51"/>
        <item x="8"/>
        <item x="31"/>
        <item x="64"/>
        <item x="49"/>
        <item x="2"/>
        <item x="59"/>
        <item x="22"/>
        <item x="34"/>
        <item x="43"/>
        <item x="12"/>
        <item x="3"/>
        <item x="27"/>
        <item x="5"/>
        <item x="24"/>
        <item x="35"/>
        <item x="67"/>
        <item x="63"/>
        <item t="default"/>
      </items>
    </pivotField>
    <pivotField numFmtId="1" showAll="0">
      <items count="61">
        <item x="19"/>
        <item x="28"/>
        <item x="7"/>
        <item x="59"/>
        <item x="26"/>
        <item x="50"/>
        <item x="34"/>
        <item x="2"/>
        <item x="30"/>
        <item x="48"/>
        <item x="3"/>
        <item x="51"/>
        <item x="42"/>
        <item x="10"/>
        <item x="8"/>
        <item x="49"/>
        <item x="53"/>
        <item x="23"/>
        <item x="35"/>
        <item x="41"/>
        <item x="56"/>
        <item x="57"/>
        <item x="54"/>
        <item x="24"/>
        <item x="33"/>
        <item x="15"/>
        <item x="44"/>
        <item x="9"/>
        <item x="32"/>
        <item x="39"/>
        <item x="17"/>
        <item x="16"/>
        <item x="46"/>
        <item x="25"/>
        <item x="29"/>
        <item x="22"/>
        <item x="55"/>
        <item x="14"/>
        <item x="36"/>
        <item x="20"/>
        <item x="5"/>
        <item x="27"/>
        <item x="45"/>
        <item x="58"/>
        <item x="43"/>
        <item x="12"/>
        <item x="47"/>
        <item x="31"/>
        <item x="0"/>
        <item x="13"/>
        <item x="38"/>
        <item x="4"/>
        <item x="37"/>
        <item x="52"/>
        <item x="6"/>
        <item x="18"/>
        <item x="40"/>
        <item x="1"/>
        <item x="21"/>
        <item x="11"/>
        <item t="default"/>
      </items>
    </pivotField>
    <pivotField numFmtId="1" showAll="0">
      <items count="63">
        <item x="32"/>
        <item x="59"/>
        <item x="9"/>
        <item x="42"/>
        <item x="48"/>
        <item x="34"/>
        <item x="41"/>
        <item x="50"/>
        <item x="52"/>
        <item x="49"/>
        <item x="3"/>
        <item x="23"/>
        <item x="46"/>
        <item x="56"/>
        <item x="29"/>
        <item x="12"/>
        <item x="24"/>
        <item x="39"/>
        <item x="31"/>
        <item x="6"/>
        <item x="19"/>
        <item x="21"/>
        <item x="0"/>
        <item x="44"/>
        <item x="11"/>
        <item x="37"/>
        <item x="38"/>
        <item x="35"/>
        <item x="4"/>
        <item x="45"/>
        <item x="8"/>
        <item x="27"/>
        <item x="36"/>
        <item x="2"/>
        <item x="40"/>
        <item x="54"/>
        <item x="57"/>
        <item x="13"/>
        <item x="25"/>
        <item x="43"/>
        <item x="26"/>
        <item x="15"/>
        <item x="55"/>
        <item x="17"/>
        <item x="1"/>
        <item x="47"/>
        <item x="30"/>
        <item x="22"/>
        <item x="60"/>
        <item x="58"/>
        <item x="51"/>
        <item x="18"/>
        <item x="28"/>
        <item x="20"/>
        <item x="33"/>
        <item x="5"/>
        <item x="7"/>
        <item x="14"/>
        <item x="61"/>
        <item x="16"/>
        <item x="53"/>
        <item x="10"/>
        <item t="default"/>
      </items>
    </pivotField>
    <pivotField numFmtId="1" showAll="0">
      <items count="79">
        <item x="31"/>
        <item x="60"/>
        <item x="11"/>
        <item x="51"/>
        <item x="34"/>
        <item x="33"/>
        <item x="49"/>
        <item x="10"/>
        <item x="61"/>
        <item x="38"/>
        <item x="77"/>
        <item x="32"/>
        <item x="17"/>
        <item x="48"/>
        <item x="16"/>
        <item x="69"/>
        <item x="59"/>
        <item x="28"/>
        <item x="18"/>
        <item x="8"/>
        <item x="22"/>
        <item x="63"/>
        <item x="6"/>
        <item x="74"/>
        <item x="29"/>
        <item x="72"/>
        <item x="44"/>
        <item x="55"/>
        <item x="42"/>
        <item x="15"/>
        <item x="27"/>
        <item x="76"/>
        <item x="41"/>
        <item x="9"/>
        <item x="56"/>
        <item x="40"/>
        <item x="37"/>
        <item x="39"/>
        <item x="46"/>
        <item x="5"/>
        <item x="0"/>
        <item x="1"/>
        <item x="19"/>
        <item x="25"/>
        <item x="54"/>
        <item x="52"/>
        <item x="26"/>
        <item x="43"/>
        <item x="45"/>
        <item x="66"/>
        <item x="2"/>
        <item x="50"/>
        <item x="21"/>
        <item x="62"/>
        <item x="14"/>
        <item x="36"/>
        <item x="20"/>
        <item x="3"/>
        <item x="24"/>
        <item x="70"/>
        <item x="30"/>
        <item x="73"/>
        <item x="7"/>
        <item x="68"/>
        <item x="65"/>
        <item x="13"/>
        <item x="64"/>
        <item x="35"/>
        <item x="47"/>
        <item x="67"/>
        <item x="58"/>
        <item x="75"/>
        <item x="53"/>
        <item x="23"/>
        <item x="57"/>
        <item x="12"/>
        <item x="4"/>
        <item x="7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dataField="1" numFmtId="2" showAll="0">
      <items count="101">
        <item x="10"/>
        <item x="18"/>
        <item x="32"/>
        <item x="16"/>
        <item x="42"/>
        <item x="43"/>
        <item x="80"/>
        <item x="75"/>
        <item x="46"/>
        <item x="41"/>
        <item x="11"/>
        <item x="64"/>
        <item x="29"/>
        <item x="52"/>
        <item x="17"/>
        <item x="85"/>
        <item x="25"/>
        <item x="76"/>
        <item x="58"/>
        <item x="15"/>
        <item x="90"/>
        <item x="36"/>
        <item x="51"/>
        <item x="74"/>
        <item x="70"/>
        <item x="56"/>
        <item x="73"/>
        <item x="63"/>
        <item x="48"/>
        <item x="0"/>
        <item x="89"/>
        <item x="37"/>
        <item x="94"/>
        <item x="77"/>
        <item x="61"/>
        <item x="98"/>
        <item x="81"/>
        <item x="44"/>
        <item x="71"/>
        <item x="31"/>
        <item x="88"/>
        <item x="2"/>
        <item x="65"/>
        <item x="35"/>
        <item x="49"/>
        <item x="22"/>
        <item x="34"/>
        <item x="4"/>
        <item x="20"/>
        <item x="13"/>
        <item x="83"/>
        <item x="6"/>
        <item x="26"/>
        <item x="87"/>
        <item x="99"/>
        <item x="30"/>
        <item x="7"/>
        <item x="68"/>
        <item x="24"/>
        <item x="69"/>
        <item x="79"/>
        <item x="84"/>
        <item x="62"/>
        <item x="59"/>
        <item x="95"/>
        <item x="72"/>
        <item x="8"/>
        <item x="54"/>
        <item x="28"/>
        <item x="91"/>
        <item x="47"/>
        <item x="66"/>
        <item x="78"/>
        <item x="60"/>
        <item x="38"/>
        <item x="82"/>
        <item x="12"/>
        <item x="45"/>
        <item x="19"/>
        <item x="14"/>
        <item x="21"/>
        <item x="33"/>
        <item x="67"/>
        <item x="93"/>
        <item x="1"/>
        <item x="97"/>
        <item x="23"/>
        <item x="5"/>
        <item x="40"/>
        <item x="9"/>
        <item x="39"/>
        <item x="96"/>
        <item x="92"/>
        <item x="55"/>
        <item x="27"/>
        <item x="3"/>
        <item x="86"/>
        <item x="57"/>
        <item x="53"/>
        <item x="50"/>
        <item t="default"/>
      </items>
    </pivotField>
    <pivotField showAll="0">
      <items count="3">
        <item x="0"/>
        <item x="1"/>
        <item t="default"/>
      </items>
    </pivotField>
    <pivotField axis="axisRow" numFmtId="1" showAll="0">
      <items count="3">
        <item x="0"/>
        <item x="1"/>
        <item t="default"/>
      </items>
    </pivotField>
    <pivotField numFmtId="1" showAll="0">
      <items count="3">
        <item x="0"/>
        <item x="1"/>
        <item t="default"/>
      </items>
    </pivotField>
    <pivotField numFmtId="1" showAll="0">
      <items count="11">
        <item x="1"/>
        <item x="6"/>
        <item x="4"/>
        <item x="2"/>
        <item x="3"/>
        <item x="5"/>
        <item x="0"/>
        <item x="9"/>
        <item x="8"/>
        <item x="7"/>
        <item t="default"/>
      </items>
    </pivotField>
    <pivotField numFmtId="1" showAll="0">
      <items count="3">
        <item x="1"/>
        <item x="0"/>
        <item t="default"/>
      </items>
    </pivotField>
    <pivotField numFmtId="1" showAll="0">
      <items count="11">
        <item x="0"/>
        <item x="8"/>
        <item x="2"/>
        <item x="3"/>
        <item x="1"/>
        <item x="4"/>
        <item x="7"/>
        <item x="6"/>
        <item x="5"/>
        <item x="9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Average of Heart_Risk_Score" fld="7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indent="0" outline="1" outlineData="1" showDrill="1" multipleFieldFilters="0" chartFormat="6">
  <location ref="A3:B6" firstHeaderRow="1" firstDataRow="1" firstDataCol="1"/>
  <pivotFields count="14">
    <pivotField numFmtId="1" showAll="0">
      <items count="47">
        <item x="45"/>
        <item x="14"/>
        <item x="12"/>
        <item x="31"/>
        <item x="38"/>
        <item x="28"/>
        <item x="4"/>
        <item x="29"/>
        <item x="40"/>
        <item x="8"/>
        <item x="19"/>
        <item x="32"/>
        <item x="2"/>
        <item x="25"/>
        <item x="37"/>
        <item x="30"/>
        <item x="6"/>
        <item x="35"/>
        <item x="5"/>
        <item x="13"/>
        <item x="7"/>
        <item x="9"/>
        <item x="20"/>
        <item x="34"/>
        <item x="22"/>
        <item x="24"/>
        <item x="1"/>
        <item x="16"/>
        <item x="41"/>
        <item x="18"/>
        <item x="39"/>
        <item x="36"/>
        <item x="10"/>
        <item x="27"/>
        <item x="17"/>
        <item x="0"/>
        <item x="11"/>
        <item x="44"/>
        <item x="23"/>
        <item x="3"/>
        <item x="15"/>
        <item x="43"/>
        <item x="26"/>
        <item x="42"/>
        <item x="21"/>
        <item x="33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72">
        <item x="23"/>
        <item x="60"/>
        <item x="53"/>
        <item x="9"/>
        <item x="0"/>
        <item x="14"/>
        <item x="38"/>
        <item x="28"/>
        <item x="69"/>
        <item x="26"/>
        <item x="11"/>
        <item x="36"/>
        <item x="47"/>
        <item x="7"/>
        <item x="20"/>
        <item x="37"/>
        <item x="17"/>
        <item x="68"/>
        <item x="58"/>
        <item x="10"/>
        <item x="30"/>
        <item x="45"/>
        <item x="42"/>
        <item x="15"/>
        <item x="54"/>
        <item x="33"/>
        <item x="65"/>
        <item x="61"/>
        <item x="55"/>
        <item x="16"/>
        <item x="4"/>
        <item x="41"/>
        <item x="66"/>
        <item x="70"/>
        <item x="39"/>
        <item x="13"/>
        <item x="48"/>
        <item x="6"/>
        <item x="46"/>
        <item x="40"/>
        <item x="62"/>
        <item x="1"/>
        <item x="29"/>
        <item x="50"/>
        <item x="32"/>
        <item x="18"/>
        <item x="21"/>
        <item x="25"/>
        <item x="19"/>
        <item x="44"/>
        <item x="57"/>
        <item x="52"/>
        <item x="56"/>
        <item x="51"/>
        <item x="8"/>
        <item x="31"/>
        <item x="64"/>
        <item x="49"/>
        <item x="2"/>
        <item x="59"/>
        <item x="22"/>
        <item x="34"/>
        <item x="43"/>
        <item x="12"/>
        <item x="3"/>
        <item x="27"/>
        <item x="5"/>
        <item x="24"/>
        <item x="35"/>
        <item x="67"/>
        <item x="63"/>
        <item t="default"/>
      </items>
    </pivotField>
    <pivotField numFmtId="1" showAll="0">
      <items count="61">
        <item x="19"/>
        <item x="28"/>
        <item x="7"/>
        <item x="59"/>
        <item x="26"/>
        <item x="50"/>
        <item x="34"/>
        <item x="2"/>
        <item x="30"/>
        <item x="48"/>
        <item x="3"/>
        <item x="51"/>
        <item x="42"/>
        <item x="10"/>
        <item x="8"/>
        <item x="49"/>
        <item x="53"/>
        <item x="23"/>
        <item x="35"/>
        <item x="41"/>
        <item x="56"/>
        <item x="57"/>
        <item x="54"/>
        <item x="24"/>
        <item x="33"/>
        <item x="15"/>
        <item x="44"/>
        <item x="9"/>
        <item x="32"/>
        <item x="39"/>
        <item x="17"/>
        <item x="16"/>
        <item x="46"/>
        <item x="25"/>
        <item x="29"/>
        <item x="22"/>
        <item x="55"/>
        <item x="14"/>
        <item x="36"/>
        <item x="20"/>
        <item x="5"/>
        <item x="27"/>
        <item x="45"/>
        <item x="58"/>
        <item x="43"/>
        <item x="12"/>
        <item x="47"/>
        <item x="31"/>
        <item x="0"/>
        <item x="13"/>
        <item x="38"/>
        <item x="4"/>
        <item x="37"/>
        <item x="52"/>
        <item x="6"/>
        <item x="18"/>
        <item x="40"/>
        <item x="1"/>
        <item x="21"/>
        <item x="11"/>
        <item t="default"/>
      </items>
    </pivotField>
    <pivotField numFmtId="1" showAll="0">
      <items count="63">
        <item x="32"/>
        <item x="59"/>
        <item x="9"/>
        <item x="42"/>
        <item x="48"/>
        <item x="34"/>
        <item x="41"/>
        <item x="50"/>
        <item x="52"/>
        <item x="49"/>
        <item x="3"/>
        <item x="23"/>
        <item x="46"/>
        <item x="56"/>
        <item x="29"/>
        <item x="12"/>
        <item x="24"/>
        <item x="39"/>
        <item x="31"/>
        <item x="6"/>
        <item x="19"/>
        <item x="21"/>
        <item x="0"/>
        <item x="44"/>
        <item x="11"/>
        <item x="37"/>
        <item x="38"/>
        <item x="35"/>
        <item x="4"/>
        <item x="45"/>
        <item x="8"/>
        <item x="27"/>
        <item x="36"/>
        <item x="2"/>
        <item x="40"/>
        <item x="54"/>
        <item x="57"/>
        <item x="13"/>
        <item x="25"/>
        <item x="43"/>
        <item x="26"/>
        <item x="15"/>
        <item x="55"/>
        <item x="17"/>
        <item x="1"/>
        <item x="47"/>
        <item x="30"/>
        <item x="22"/>
        <item x="60"/>
        <item x="58"/>
        <item x="51"/>
        <item x="18"/>
        <item x="28"/>
        <item x="20"/>
        <item x="33"/>
        <item x="5"/>
        <item x="7"/>
        <item x="14"/>
        <item x="61"/>
        <item x="16"/>
        <item x="53"/>
        <item x="10"/>
        <item t="default"/>
      </items>
    </pivotField>
    <pivotField numFmtId="1" showAll="0">
      <items count="79">
        <item x="31"/>
        <item x="60"/>
        <item x="11"/>
        <item x="51"/>
        <item x="34"/>
        <item x="33"/>
        <item x="49"/>
        <item x="10"/>
        <item x="61"/>
        <item x="38"/>
        <item x="77"/>
        <item x="32"/>
        <item x="17"/>
        <item x="48"/>
        <item x="16"/>
        <item x="69"/>
        <item x="59"/>
        <item x="28"/>
        <item x="18"/>
        <item x="8"/>
        <item x="22"/>
        <item x="63"/>
        <item x="6"/>
        <item x="74"/>
        <item x="29"/>
        <item x="72"/>
        <item x="44"/>
        <item x="55"/>
        <item x="42"/>
        <item x="15"/>
        <item x="27"/>
        <item x="76"/>
        <item x="41"/>
        <item x="9"/>
        <item x="56"/>
        <item x="40"/>
        <item x="37"/>
        <item x="39"/>
        <item x="46"/>
        <item x="5"/>
        <item x="0"/>
        <item x="1"/>
        <item x="19"/>
        <item x="25"/>
        <item x="54"/>
        <item x="52"/>
        <item x="26"/>
        <item x="43"/>
        <item x="45"/>
        <item x="66"/>
        <item x="2"/>
        <item x="50"/>
        <item x="21"/>
        <item x="62"/>
        <item x="14"/>
        <item x="36"/>
        <item x="20"/>
        <item x="3"/>
        <item x="24"/>
        <item x="70"/>
        <item x="30"/>
        <item x="73"/>
        <item x="7"/>
        <item x="68"/>
        <item x="65"/>
        <item x="13"/>
        <item x="64"/>
        <item x="35"/>
        <item x="47"/>
        <item x="67"/>
        <item x="58"/>
        <item x="75"/>
        <item x="53"/>
        <item x="23"/>
        <item x="57"/>
        <item x="12"/>
        <item x="4"/>
        <item x="7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dataField="1" numFmtId="2" showAll="0">
      <items count="101">
        <item x="10"/>
        <item x="18"/>
        <item x="32"/>
        <item x="16"/>
        <item x="42"/>
        <item x="43"/>
        <item x="80"/>
        <item x="75"/>
        <item x="46"/>
        <item x="41"/>
        <item x="11"/>
        <item x="64"/>
        <item x="29"/>
        <item x="52"/>
        <item x="17"/>
        <item x="85"/>
        <item x="25"/>
        <item x="76"/>
        <item x="58"/>
        <item x="15"/>
        <item x="90"/>
        <item x="36"/>
        <item x="51"/>
        <item x="74"/>
        <item x="70"/>
        <item x="56"/>
        <item x="73"/>
        <item x="63"/>
        <item x="48"/>
        <item x="0"/>
        <item x="89"/>
        <item x="37"/>
        <item x="94"/>
        <item x="77"/>
        <item x="61"/>
        <item x="98"/>
        <item x="81"/>
        <item x="44"/>
        <item x="71"/>
        <item x="31"/>
        <item x="88"/>
        <item x="2"/>
        <item x="65"/>
        <item x="35"/>
        <item x="49"/>
        <item x="22"/>
        <item x="34"/>
        <item x="4"/>
        <item x="20"/>
        <item x="13"/>
        <item x="83"/>
        <item x="6"/>
        <item x="26"/>
        <item x="87"/>
        <item x="99"/>
        <item x="30"/>
        <item x="7"/>
        <item x="68"/>
        <item x="24"/>
        <item x="69"/>
        <item x="79"/>
        <item x="84"/>
        <item x="62"/>
        <item x="59"/>
        <item x="95"/>
        <item x="72"/>
        <item x="8"/>
        <item x="54"/>
        <item x="28"/>
        <item x="91"/>
        <item x="47"/>
        <item x="66"/>
        <item x="78"/>
        <item x="60"/>
        <item x="38"/>
        <item x="82"/>
        <item x="12"/>
        <item x="45"/>
        <item x="19"/>
        <item x="14"/>
        <item x="21"/>
        <item x="33"/>
        <item x="67"/>
        <item x="93"/>
        <item x="1"/>
        <item x="97"/>
        <item x="23"/>
        <item x="5"/>
        <item x="40"/>
        <item x="9"/>
        <item x="39"/>
        <item x="96"/>
        <item x="92"/>
        <item x="55"/>
        <item x="27"/>
        <item x="3"/>
        <item x="86"/>
        <item x="57"/>
        <item x="53"/>
        <item x="50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3">
        <item x="0"/>
        <item x="1"/>
        <item t="default"/>
      </items>
    </pivotField>
    <pivotField axis="axisRow" numFmtId="1" showAll="0">
      <items count="3">
        <item x="0"/>
        <item x="1"/>
        <item t="default"/>
      </items>
    </pivotField>
    <pivotField numFmtId="1" showAll="0">
      <items count="11">
        <item x="1"/>
        <item x="6"/>
        <item x="4"/>
        <item x="2"/>
        <item x="3"/>
        <item x="5"/>
        <item x="0"/>
        <item x="9"/>
        <item x="8"/>
        <item x="7"/>
        <item t="default"/>
      </items>
    </pivotField>
    <pivotField numFmtId="1" showAll="0">
      <items count="3">
        <item x="1"/>
        <item x="0"/>
        <item t="default"/>
      </items>
    </pivotField>
    <pivotField numFmtId="1" showAll="0">
      <items count="11">
        <item x="0"/>
        <item x="8"/>
        <item x="2"/>
        <item x="3"/>
        <item x="1"/>
        <item x="4"/>
        <item x="7"/>
        <item x="6"/>
        <item x="5"/>
        <item x="9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Average of Heart_Risk_Score" fld="7" subtotal="average" showDataAs="percentOfTotal" baseField="1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indent="0" outline="1" outlineData="1" showDrill="1" multipleFieldFilters="0" chartFormat="6">
  <location ref="A3:B14" firstHeaderRow="1" firstDataRow="1" firstDataCol="1"/>
  <pivotFields count="14">
    <pivotField numFmtId="1" showAll="0">
      <items count="47">
        <item x="45"/>
        <item x="14"/>
        <item x="12"/>
        <item x="31"/>
        <item x="38"/>
        <item x="28"/>
        <item x="4"/>
        <item x="29"/>
        <item x="40"/>
        <item x="8"/>
        <item x="19"/>
        <item x="32"/>
        <item x="2"/>
        <item x="25"/>
        <item x="37"/>
        <item x="30"/>
        <item x="6"/>
        <item x="35"/>
        <item x="5"/>
        <item x="13"/>
        <item x="7"/>
        <item x="9"/>
        <item x="20"/>
        <item x="34"/>
        <item x="22"/>
        <item x="24"/>
        <item x="1"/>
        <item x="16"/>
        <item x="41"/>
        <item x="18"/>
        <item x="39"/>
        <item x="36"/>
        <item x="10"/>
        <item x="27"/>
        <item x="17"/>
        <item x="0"/>
        <item x="11"/>
        <item x="44"/>
        <item x="23"/>
        <item x="3"/>
        <item x="15"/>
        <item x="43"/>
        <item x="26"/>
        <item x="42"/>
        <item x="21"/>
        <item x="33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72">
        <item x="23"/>
        <item x="60"/>
        <item x="53"/>
        <item x="9"/>
        <item x="0"/>
        <item x="14"/>
        <item x="38"/>
        <item x="28"/>
        <item x="69"/>
        <item x="26"/>
        <item x="11"/>
        <item x="36"/>
        <item x="47"/>
        <item x="7"/>
        <item x="20"/>
        <item x="37"/>
        <item x="17"/>
        <item x="68"/>
        <item x="58"/>
        <item x="10"/>
        <item x="30"/>
        <item x="45"/>
        <item x="42"/>
        <item x="15"/>
        <item x="54"/>
        <item x="33"/>
        <item x="65"/>
        <item x="61"/>
        <item x="55"/>
        <item x="16"/>
        <item x="4"/>
        <item x="41"/>
        <item x="66"/>
        <item x="70"/>
        <item x="39"/>
        <item x="13"/>
        <item x="48"/>
        <item x="6"/>
        <item x="46"/>
        <item x="40"/>
        <item x="62"/>
        <item x="1"/>
        <item x="29"/>
        <item x="50"/>
        <item x="32"/>
        <item x="18"/>
        <item x="21"/>
        <item x="25"/>
        <item x="19"/>
        <item x="44"/>
        <item x="57"/>
        <item x="52"/>
        <item x="56"/>
        <item x="51"/>
        <item x="8"/>
        <item x="31"/>
        <item x="64"/>
        <item x="49"/>
        <item x="2"/>
        <item x="59"/>
        <item x="22"/>
        <item x="34"/>
        <item x="43"/>
        <item x="12"/>
        <item x="3"/>
        <item x="27"/>
        <item x="5"/>
        <item x="24"/>
        <item x="35"/>
        <item x="67"/>
        <item x="63"/>
        <item t="default"/>
      </items>
    </pivotField>
    <pivotField numFmtId="1" showAll="0">
      <items count="61">
        <item x="19"/>
        <item x="28"/>
        <item x="7"/>
        <item x="59"/>
        <item x="26"/>
        <item x="50"/>
        <item x="34"/>
        <item x="2"/>
        <item x="30"/>
        <item x="48"/>
        <item x="3"/>
        <item x="51"/>
        <item x="42"/>
        <item x="10"/>
        <item x="8"/>
        <item x="49"/>
        <item x="53"/>
        <item x="23"/>
        <item x="35"/>
        <item x="41"/>
        <item x="56"/>
        <item x="57"/>
        <item x="54"/>
        <item x="24"/>
        <item x="33"/>
        <item x="15"/>
        <item x="44"/>
        <item x="9"/>
        <item x="32"/>
        <item x="39"/>
        <item x="17"/>
        <item x="16"/>
        <item x="46"/>
        <item x="25"/>
        <item x="29"/>
        <item x="22"/>
        <item x="55"/>
        <item x="14"/>
        <item x="36"/>
        <item x="20"/>
        <item x="5"/>
        <item x="27"/>
        <item x="45"/>
        <item x="58"/>
        <item x="43"/>
        <item x="12"/>
        <item x="47"/>
        <item x="31"/>
        <item x="0"/>
        <item x="13"/>
        <item x="38"/>
        <item x="4"/>
        <item x="37"/>
        <item x="52"/>
        <item x="6"/>
        <item x="18"/>
        <item x="40"/>
        <item x="1"/>
        <item x="21"/>
        <item x="11"/>
        <item t="default"/>
      </items>
    </pivotField>
    <pivotField numFmtId="1" showAll="0">
      <items count="63">
        <item x="32"/>
        <item x="59"/>
        <item x="9"/>
        <item x="42"/>
        <item x="48"/>
        <item x="34"/>
        <item x="41"/>
        <item x="50"/>
        <item x="52"/>
        <item x="49"/>
        <item x="3"/>
        <item x="23"/>
        <item x="46"/>
        <item x="56"/>
        <item x="29"/>
        <item x="12"/>
        <item x="24"/>
        <item x="39"/>
        <item x="31"/>
        <item x="6"/>
        <item x="19"/>
        <item x="21"/>
        <item x="0"/>
        <item x="44"/>
        <item x="11"/>
        <item x="37"/>
        <item x="38"/>
        <item x="35"/>
        <item x="4"/>
        <item x="45"/>
        <item x="8"/>
        <item x="27"/>
        <item x="36"/>
        <item x="2"/>
        <item x="40"/>
        <item x="54"/>
        <item x="57"/>
        <item x="13"/>
        <item x="25"/>
        <item x="43"/>
        <item x="26"/>
        <item x="15"/>
        <item x="55"/>
        <item x="17"/>
        <item x="1"/>
        <item x="47"/>
        <item x="30"/>
        <item x="22"/>
        <item x="60"/>
        <item x="58"/>
        <item x="51"/>
        <item x="18"/>
        <item x="28"/>
        <item x="20"/>
        <item x="33"/>
        <item x="5"/>
        <item x="7"/>
        <item x="14"/>
        <item x="61"/>
        <item x="16"/>
        <item x="53"/>
        <item x="10"/>
        <item t="default"/>
      </items>
    </pivotField>
    <pivotField numFmtId="1" showAll="0">
      <items count="79">
        <item x="31"/>
        <item x="60"/>
        <item x="11"/>
        <item x="51"/>
        <item x="34"/>
        <item x="33"/>
        <item x="49"/>
        <item x="10"/>
        <item x="61"/>
        <item x="38"/>
        <item x="77"/>
        <item x="32"/>
        <item x="17"/>
        <item x="48"/>
        <item x="16"/>
        <item x="69"/>
        <item x="59"/>
        <item x="28"/>
        <item x="18"/>
        <item x="8"/>
        <item x="22"/>
        <item x="63"/>
        <item x="6"/>
        <item x="74"/>
        <item x="29"/>
        <item x="72"/>
        <item x="44"/>
        <item x="55"/>
        <item x="42"/>
        <item x="15"/>
        <item x="27"/>
        <item x="76"/>
        <item x="41"/>
        <item x="9"/>
        <item x="56"/>
        <item x="40"/>
        <item x="37"/>
        <item x="39"/>
        <item x="46"/>
        <item x="5"/>
        <item x="0"/>
        <item x="1"/>
        <item x="19"/>
        <item x="25"/>
        <item x="54"/>
        <item x="52"/>
        <item x="26"/>
        <item x="43"/>
        <item x="45"/>
        <item x="66"/>
        <item x="2"/>
        <item x="50"/>
        <item x="21"/>
        <item x="62"/>
        <item x="14"/>
        <item x="36"/>
        <item x="20"/>
        <item x="3"/>
        <item x="24"/>
        <item x="70"/>
        <item x="30"/>
        <item x="73"/>
        <item x="7"/>
        <item x="68"/>
        <item x="65"/>
        <item x="13"/>
        <item x="64"/>
        <item x="35"/>
        <item x="47"/>
        <item x="67"/>
        <item x="58"/>
        <item x="75"/>
        <item x="53"/>
        <item x="23"/>
        <item x="57"/>
        <item x="12"/>
        <item x="4"/>
        <item x="71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dataField="1" numFmtId="2" showAll="0">
      <items count="101">
        <item x="10"/>
        <item x="18"/>
        <item x="32"/>
        <item x="16"/>
        <item x="42"/>
        <item x="43"/>
        <item x="80"/>
        <item x="75"/>
        <item x="46"/>
        <item x="41"/>
        <item x="11"/>
        <item x="64"/>
        <item x="29"/>
        <item x="52"/>
        <item x="17"/>
        <item x="85"/>
        <item x="25"/>
        <item x="76"/>
        <item x="58"/>
        <item x="15"/>
        <item x="90"/>
        <item x="36"/>
        <item x="51"/>
        <item x="74"/>
        <item x="70"/>
        <item x="56"/>
        <item x="73"/>
        <item x="63"/>
        <item x="48"/>
        <item x="0"/>
        <item x="89"/>
        <item x="37"/>
        <item x="94"/>
        <item x="77"/>
        <item x="61"/>
        <item x="98"/>
        <item x="81"/>
        <item x="44"/>
        <item x="71"/>
        <item x="31"/>
        <item x="88"/>
        <item x="2"/>
        <item x="65"/>
        <item x="35"/>
        <item x="49"/>
        <item x="22"/>
        <item x="34"/>
        <item x="4"/>
        <item x="20"/>
        <item x="13"/>
        <item x="83"/>
        <item x="6"/>
        <item x="26"/>
        <item x="87"/>
        <item x="99"/>
        <item x="30"/>
        <item x="7"/>
        <item x="68"/>
        <item x="24"/>
        <item x="69"/>
        <item x="79"/>
        <item x="84"/>
        <item x="62"/>
        <item x="59"/>
        <item x="95"/>
        <item x="72"/>
        <item x="8"/>
        <item x="54"/>
        <item x="28"/>
        <item x="91"/>
        <item x="47"/>
        <item x="66"/>
        <item x="78"/>
        <item x="60"/>
        <item x="38"/>
        <item x="82"/>
        <item x="12"/>
        <item x="45"/>
        <item x="19"/>
        <item x="14"/>
        <item x="21"/>
        <item x="33"/>
        <item x="67"/>
        <item x="93"/>
        <item x="1"/>
        <item x="97"/>
        <item x="23"/>
        <item x="5"/>
        <item x="40"/>
        <item x="9"/>
        <item x="39"/>
        <item x="96"/>
        <item x="92"/>
        <item x="55"/>
        <item x="27"/>
        <item x="3"/>
        <item x="86"/>
        <item x="57"/>
        <item x="53"/>
        <item x="50"/>
        <item t="default"/>
      </items>
    </pivotField>
    <pivotField showAll="0">
      <items count="3">
        <item x="0"/>
        <item x="1"/>
        <item t="default"/>
      </items>
    </pivotField>
    <pivotField numFmtId="1" showAll="0">
      <items count="3">
        <item x="0"/>
        <item x="1"/>
        <item t="default"/>
      </items>
    </pivotField>
    <pivotField numFmtId="1" showAll="0">
      <items count="3">
        <item x="0"/>
        <item x="1"/>
        <item t="default"/>
      </items>
    </pivotField>
    <pivotField axis="axisRow" numFmtId="1" showAll="0">
      <items count="11">
        <item x="1"/>
        <item x="6"/>
        <item x="4"/>
        <item x="2"/>
        <item x="3"/>
        <item x="5"/>
        <item x="0"/>
        <item x="9"/>
        <item x="8"/>
        <item x="7"/>
        <item t="default"/>
      </items>
    </pivotField>
    <pivotField numFmtId="1" showAll="0">
      <items count="3">
        <item x="1"/>
        <item x="0"/>
        <item t="default"/>
      </items>
    </pivotField>
    <pivotField numFmtId="1" showAll="0">
      <items count="11">
        <item x="0"/>
        <item x="8"/>
        <item x="2"/>
        <item x="3"/>
        <item x="1"/>
        <item x="4"/>
        <item x="7"/>
        <item x="6"/>
        <item x="5"/>
        <item x="9"/>
        <item t="default"/>
      </items>
    </pivotField>
  </pivotFields>
  <rowFields count="1"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Heart_Risk_Score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_category" sourceName="Age category ">
  <pivotTables>
    <pivotTable tabId="8" name="PivotTable6"/>
    <pivotTable tabId="3" name="PivotTable1"/>
    <pivotTable tabId="5" name="PivotTable3"/>
    <pivotTable tabId="6" name="PivotTable4"/>
    <pivotTable tabId="7" name="PivotTable5"/>
    <pivotTable tabId="9" name="PivotTable7"/>
    <pivotTable tabId="14" name="PivotTable1"/>
    <pivotTable tabId="15" name="PivotTable2"/>
    <pivotTable tabId="16" name="PivotTable3"/>
    <pivotTable tabId="17" name="PivotTable4"/>
  </pivotTables>
  <data>
    <tabular pivotCacheId="1">
      <items count="2"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moking" sourceName="Smoking">
  <pivotTables>
    <pivotTable tabId="17" name="PivotTable4"/>
    <pivotTable tabId="3" name="PivotTable1"/>
    <pivotTable tabId="5" name="PivotTable3"/>
    <pivotTable tabId="6" name="PivotTable4"/>
    <pivotTable tabId="7" name="PivotTable5"/>
    <pivotTable tabId="8" name="PivotTable6"/>
    <pivotTable tabId="9" name="PivotTable7"/>
    <pivotTable tabId="14" name="PivotTable1"/>
    <pivotTable tabId="15" name="PivotTable2"/>
    <pivotTable tabId="16" name="PivotTable3"/>
  </pivotTables>
  <data>
    <tabular pivotCacheId="1">
      <items count="2">
        <i x="0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Helper_Columns" sourceName="Helper Columns">
  <pivotTables>
    <pivotTable tabId="8" name="PivotTable6"/>
    <pivotTable tabId="3" name="PivotTable1"/>
    <pivotTable tabId="5" name="PivotTable3"/>
    <pivotTable tabId="6" name="PivotTable4"/>
    <pivotTable tabId="7" name="PivotTable5"/>
    <pivotTable tabId="9" name="PivotTable7"/>
    <pivotTable tabId="14" name="PivotTable1"/>
    <pivotTable tabId="15" name="PivotTable2"/>
    <pivotTable tabId="16" name="PivotTable3"/>
    <pivotTable tabId="17" name="PivotTable4"/>
  </pivotTables>
  <data>
    <tabular pivotCacheId="1">
      <items count="2">
        <i x="0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Family_History" sourceName="Family_History">
  <pivotTables>
    <pivotTable tabId="8" name="PivotTable6"/>
    <pivotTable tabId="3" name="PivotTable1"/>
    <pivotTable tabId="5" name="PivotTable3"/>
    <pivotTable tabId="6" name="PivotTable4"/>
    <pivotTable tabId="7" name="PivotTable5"/>
    <pivotTable tabId="9" name="PivotTable7"/>
    <pivotTable tabId="14" name="PivotTable1"/>
    <pivotTable tabId="15" name="PivotTable2"/>
    <pivotTable tabId="16" name="PivotTable3"/>
    <pivotTable tabId="17" name="PivotTable4"/>
  </pivotTables>
  <data>
    <tabular pivotCacheId="1">
      <items count="2"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ge category " cache="Slicer_Age_category" caption="Age category " rowHeight="225425"/>
  <slicer name="Smoking" cache="Slicer_Smoking" caption="Smoking" rowHeight="225425"/>
  <slicer name="Helper Columns" cache="Slicer_Helper_Columns" caption="Helper Columns" rowHeight="225425"/>
  <slicer name="Family_History" cache="Slicer_Family_History" caption="Family_History" rowHeight="225425"/>
</slicers>
</file>

<file path=xl/tables/table1.xml><?xml version="1.0" encoding="utf-8"?>
<table xmlns="http://schemas.openxmlformats.org/spreadsheetml/2006/main" id="2" name="Table2" displayName="Table2" ref="A1:N101" totalsRowShown="0">
  <autoFilter xmlns:etc="http://www.wps.cn/officeDocument/2017/etCustomData" ref="A1:N101" etc:filterBottomFollowUsedRange="0"/>
  <tableColumns count="14">
    <tableColumn id="1" name="Age" dataDxfId="0"/>
    <tableColumn id="14" name="Age category " dataDxfId="1">
      <calculatedColumnFormula>IF(A2&lt;18,"Child",IF(A2&lt;30,"Young Adult",IF(A2&lt;60,"Adult","Senior Citizen")))</calculatedColumnFormula>
    </tableColumn>
    <tableColumn id="2" name="Cholesterol" dataDxfId="2"/>
    <tableColumn id="3" name="Blood_Pressure" dataDxfId="3"/>
    <tableColumn id="4" name="Max_HeartRate" dataDxfId="4"/>
    <tableColumn id="5" name="BMI" dataDxfId="5"/>
    <tableColumn id="13" name="BMI Category" dataDxfId="6">
      <calculatedColumnFormula>IF(F2&lt;18.5,"Underweight",IF(F2&lt;25,"Normal",IF(F2&lt;30,"Overweight","Obese")))</calculatedColumnFormula>
    </tableColumn>
    <tableColumn id="6" name="Heart_Risk_Score" dataDxfId="7"/>
    <tableColumn id="12" name="Helper Columns" dataDxfId="8">
      <calculatedColumnFormula>IF(H2&lt;100,"Low",IF(H2&lt;=65,"Medium","High"))</calculatedColumnFormula>
    </tableColumn>
    <tableColumn id="7" name="Smoking" dataDxfId="9"/>
    <tableColumn id="8" name="Diabetes" dataDxfId="10"/>
    <tableColumn id="9" name="Exercise_Hours_Per_Week" dataDxfId="11"/>
    <tableColumn id="10" name="Family_History" dataDxfId="12"/>
    <tableColumn id="11" name="Stress_Level" dataDxfId="1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4"/>
  <sheetViews>
    <sheetView workbookViewId="0">
      <selection activeCell="A3" sqref="A3:A4"/>
    </sheetView>
  </sheetViews>
  <sheetFormatPr defaultColWidth="9" defaultRowHeight="15" outlineLevelRow="3"/>
  <cols>
    <col min="1" max="1" width="13.4285714285714"/>
  </cols>
  <sheetData>
    <row r="2" spans="1:1">
      <c r="A2" t="s">
        <v>0</v>
      </c>
    </row>
    <row r="3" spans="1:1">
      <c r="A3" t="s">
        <v>1</v>
      </c>
    </row>
    <row r="4" spans="1:1">
      <c r="A4">
        <v>100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cols>
    <col min="1" max="1" width="13.1428571428571" customWidth="1"/>
    <col min="2" max="2" width="21.1428571428571" customWidth="1"/>
    <col min="3" max="3" width="25.2857142857143" customWidth="1"/>
  </cols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D9" sqref="D9"/>
    </sheetView>
  </sheetViews>
  <sheetFormatPr defaultColWidth="9" defaultRowHeight="15" outlineLevelRow="3" outlineLevelCol="3"/>
  <cols>
    <col min="1" max="1" width="29"/>
  </cols>
  <sheetData>
    <row r="1" spans="1:4">
      <c r="D1" t="s">
        <v>2</v>
      </c>
    </row>
    <row r="3" spans="1:4">
      <c r="A3" t="s">
        <v>3</v>
      </c>
    </row>
    <row r="4" spans="1:4">
      <c r="A4">
        <v>154.588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4"/>
  <sheetViews>
    <sheetView workbookViewId="0">
      <selection activeCell="F2" sqref="F2"/>
    </sheetView>
  </sheetViews>
  <sheetFormatPr defaultColWidth="9" defaultRowHeight="15" outlineLevelRow="3"/>
  <cols>
    <col min="1" max="1" width="27.2857142857143"/>
  </cols>
  <sheetData>
    <row r="3" spans="1:1">
      <c r="A3" t="s">
        <v>4</v>
      </c>
    </row>
    <row r="4" spans="1:1">
      <c r="A4">
        <v>131.02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4"/>
  <sheetViews>
    <sheetView workbookViewId="0">
      <selection activeCell="D6" sqref="D6"/>
    </sheetView>
  </sheetViews>
  <sheetFormatPr defaultColWidth="9" defaultRowHeight="15" outlineLevelRow="3"/>
  <cols>
    <col min="1" max="1" width="23.2857142857143"/>
    <col min="2" max="2" width="18.1428571428571" customWidth="1"/>
  </cols>
  <sheetData>
    <row r="3" spans="1:1">
      <c r="A3" t="s">
        <v>5</v>
      </c>
    </row>
    <row r="4" spans="1:1">
      <c r="A4">
        <v>227.63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E21" sqref="E21"/>
    </sheetView>
  </sheetViews>
  <sheetFormatPr defaultColWidth="9" defaultRowHeight="15" outlineLevelRow="5" outlineLevelCol="1"/>
  <cols>
    <col min="1" max="1" width="13.5714285714286"/>
    <col min="2" max="2" width="13.4285714285714"/>
  </cols>
  <sheetData>
    <row r="3" spans="1:2">
      <c r="A3" t="s">
        <v>6</v>
      </c>
      <c r="B3" t="s">
        <v>1</v>
      </c>
    </row>
    <row r="4" spans="1:2">
      <c r="A4" s="14" t="s">
        <v>7</v>
      </c>
      <c r="B4">
        <v>93</v>
      </c>
    </row>
    <row r="5" spans="1:2">
      <c r="A5" s="14" t="s">
        <v>8</v>
      </c>
      <c r="B5">
        <v>7</v>
      </c>
    </row>
    <row r="6" spans="1:2">
      <c r="A6" s="14" t="s">
        <v>9</v>
      </c>
      <c r="B6">
        <v>100</v>
      </c>
    </row>
  </sheetData>
  <pageMargins left="0.7" right="0.7" top="0.75" bottom="0.75" header="0.3" footer="0.3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G4" sqref="G4"/>
    </sheetView>
  </sheetViews>
  <sheetFormatPr defaultColWidth="9" defaultRowHeight="15" outlineLevelRow="5" outlineLevelCol="1"/>
  <cols>
    <col min="1" max="1" width="14.2857142857143"/>
    <col min="2" max="2" width="29"/>
  </cols>
  <sheetData>
    <row r="3" spans="1:2">
      <c r="A3" t="s">
        <v>6</v>
      </c>
      <c r="B3" t="s">
        <v>3</v>
      </c>
    </row>
    <row r="4" spans="1:2">
      <c r="A4" s="14" t="s">
        <v>10</v>
      </c>
      <c r="B4">
        <v>148.545230769231</v>
      </c>
    </row>
    <row r="5" spans="1:2">
      <c r="A5" s="14" t="s">
        <v>11</v>
      </c>
      <c r="B5">
        <v>165.810285714286</v>
      </c>
    </row>
    <row r="6" spans="1:2">
      <c r="A6" s="14" t="s">
        <v>9</v>
      </c>
      <c r="B6">
        <v>154.588</v>
      </c>
    </row>
  </sheetData>
  <pageMargins left="0.7" right="0.7" top="0.75" bottom="0.75" header="0.3" footer="0.3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K19" sqref="K19"/>
    </sheetView>
  </sheetViews>
  <sheetFormatPr defaultColWidth="9" defaultRowHeight="15" outlineLevelRow="7" outlineLevelCol="1"/>
  <cols>
    <col min="1" max="1" width="13.5714285714286"/>
    <col min="2" max="2" width="29"/>
  </cols>
  <sheetData>
    <row r="3" spans="1:2">
      <c r="A3" t="s">
        <v>6</v>
      </c>
      <c r="B3" t="s">
        <v>3</v>
      </c>
    </row>
    <row r="4" spans="1:2">
      <c r="A4" s="14" t="s">
        <v>12</v>
      </c>
      <c r="B4" s="15">
        <v>0.948635820928623</v>
      </c>
    </row>
    <row r="5" spans="1:2">
      <c r="A5" s="14" t="s">
        <v>13</v>
      </c>
      <c r="B5" s="15">
        <v>1.06014384843183</v>
      </c>
    </row>
    <row r="6" spans="1:2">
      <c r="A6" s="14" t="s">
        <v>14</v>
      </c>
      <c r="B6" s="15">
        <v>1.02313488110332</v>
      </c>
    </row>
    <row r="7" spans="1:2">
      <c r="A7" s="14" t="s">
        <v>15</v>
      </c>
      <c r="B7" s="15">
        <v>0.828314616917225</v>
      </c>
    </row>
    <row r="8" spans="1:2">
      <c r="A8" s="14" t="s">
        <v>9</v>
      </c>
      <c r="B8" s="15">
        <v>1</v>
      </c>
    </row>
  </sheetData>
  <pageMargins left="0.7" right="0.7" top="0.75" bottom="0.75" header="0.3" footer="0.3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3" sqref="A3"/>
    </sheetView>
  </sheetViews>
  <sheetFormatPr defaultColWidth="9" defaultRowHeight="15" outlineLevelRow="5" outlineLevelCol="4"/>
  <cols>
    <col min="1" max="1" width="13.5714285714286"/>
    <col min="2" max="2" width="29"/>
  </cols>
  <sheetData>
    <row r="1" spans="1:5">
      <c r="E1" t="s">
        <v>16</v>
      </c>
    </row>
    <row r="3" spans="1:5">
      <c r="A3" t="s">
        <v>6</v>
      </c>
      <c r="B3" t="s">
        <v>3</v>
      </c>
    </row>
    <row r="4" spans="1:5">
      <c r="A4" s="13">
        <v>0</v>
      </c>
      <c r="B4">
        <v>156.932954545455</v>
      </c>
    </row>
    <row r="5" spans="1:5">
      <c r="A5" s="13">
        <v>1</v>
      </c>
      <c r="B5">
        <v>152.745535714286</v>
      </c>
    </row>
    <row r="6" spans="1:5">
      <c r="A6" s="14" t="s">
        <v>9</v>
      </c>
      <c r="B6">
        <v>154.588</v>
      </c>
    </row>
  </sheetData>
  <pageMargins left="0.7" right="0.7" top="0.75" bottom="0.75" header="0.3" footer="0.3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A3" sqref="A3"/>
    </sheetView>
  </sheetViews>
  <sheetFormatPr defaultColWidth="9" defaultRowHeight="15" outlineLevelRow="5" outlineLevelCol="1"/>
  <cols>
    <col min="1" max="1" width="13.5714285714286"/>
    <col min="2" max="2" width="29"/>
  </cols>
  <sheetData>
    <row r="3" spans="1:2">
      <c r="A3" t="s">
        <v>6</v>
      </c>
      <c r="B3" t="s">
        <v>3</v>
      </c>
    </row>
    <row r="4" spans="1:2">
      <c r="A4" s="13">
        <v>0</v>
      </c>
      <c r="B4" s="15">
        <v>1.00711245374803</v>
      </c>
    </row>
    <row r="5" spans="1:2">
      <c r="A5" s="13">
        <v>1</v>
      </c>
      <c r="B5" s="15">
        <v>0.990947786138872</v>
      </c>
    </row>
    <row r="6" spans="1:2">
      <c r="A6" s="14" t="s">
        <v>9</v>
      </c>
      <c r="B6" s="15">
        <v>1</v>
      </c>
    </row>
  </sheetData>
  <pageMargins left="0.7" right="0.7" top="0.75" bottom="0.75" header="0.3" footer="0.3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L23" sqref="L23"/>
    </sheetView>
  </sheetViews>
  <sheetFormatPr defaultColWidth="9" defaultRowHeight="15" outlineLevelCol="1"/>
  <cols>
    <col min="1" max="1" width="13.5714285714286"/>
    <col min="2" max="2" width="25.1428571428571"/>
    <col min="3" max="8" width="5.57142857142857" customWidth="1"/>
    <col min="9" max="101" width="6.57142857142857" customWidth="1"/>
    <col min="102" max="102" width="11.2857142857143" customWidth="1"/>
  </cols>
  <sheetData>
    <row r="3" spans="1:2">
      <c r="A3" t="s">
        <v>6</v>
      </c>
      <c r="B3" t="s">
        <v>17</v>
      </c>
    </row>
    <row r="4" spans="1:2">
      <c r="A4" s="13">
        <v>0</v>
      </c>
      <c r="B4">
        <v>2688.18</v>
      </c>
    </row>
    <row r="5" spans="1:2">
      <c r="A5" s="13">
        <v>1</v>
      </c>
      <c r="B5">
        <v>1039.47</v>
      </c>
    </row>
    <row r="6" spans="1:2">
      <c r="A6" s="13">
        <v>2</v>
      </c>
      <c r="B6">
        <v>1561.33</v>
      </c>
    </row>
    <row r="7" spans="1:2">
      <c r="A7" s="13">
        <v>3</v>
      </c>
      <c r="B7">
        <v>2000.11</v>
      </c>
    </row>
    <row r="8" spans="1:2">
      <c r="A8" s="13">
        <v>4</v>
      </c>
      <c r="B8">
        <v>957.95</v>
      </c>
    </row>
    <row r="9" spans="1:2">
      <c r="A9" s="13">
        <v>5</v>
      </c>
      <c r="B9">
        <v>1210.47</v>
      </c>
    </row>
    <row r="10" spans="1:2">
      <c r="A10" s="13">
        <v>6</v>
      </c>
      <c r="B10">
        <v>2070.89</v>
      </c>
    </row>
    <row r="11" spans="1:2">
      <c r="A11" s="13">
        <v>7</v>
      </c>
      <c r="B11">
        <v>1323.77</v>
      </c>
    </row>
    <row r="12" spans="1:2">
      <c r="A12" s="13">
        <v>8</v>
      </c>
      <c r="B12">
        <v>1831.76</v>
      </c>
    </row>
    <row r="13" spans="1:2">
      <c r="A13" s="13">
        <v>9</v>
      </c>
      <c r="B13">
        <v>774.87</v>
      </c>
    </row>
    <row r="14" spans="1:2">
      <c r="A14" s="14" t="s">
        <v>9</v>
      </c>
      <c r="B14">
        <v>15458.8</v>
      </c>
    </row>
  </sheetData>
  <pageMargins left="0.7" right="0.7" top="0.75" bottom="0.75" header="0.3" footer="0.3"/>
  <headerFooter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1"/>
  <sheetViews>
    <sheetView topLeftCell="I1" workbookViewId="0">
      <selection activeCell="P1" sqref="P1"/>
    </sheetView>
  </sheetViews>
  <sheetFormatPr defaultColWidth="9" defaultRowHeight="15"/>
  <cols>
    <col min="1" max="1" width="6.57142857142857" style="2" customWidth="1"/>
    <col min="2" max="2" width="13.4285714285714" style="2" customWidth="1"/>
    <col min="3" max="3" width="17" style="2" customWidth="1"/>
    <col min="4" max="4" width="16.8571428571429" customWidth="1"/>
    <col min="5" max="5" width="10.2857142857143" style="2" customWidth="1"/>
    <col min="6" max="6" width="14.1428571428571" style="2" customWidth="1"/>
    <col min="7" max="8" width="18.4285714285714" style="3" customWidth="1"/>
    <col min="9" max="9" width="10.7142857142857" style="2" customWidth="1"/>
    <col min="10" max="10" width="11" style="2" customWidth="1"/>
    <col min="11" max="11" width="20" style="2" customWidth="1"/>
    <col min="12" max="12" width="24.5714285714286" style="2" customWidth="1"/>
    <col min="13" max="13" width="16.4285714285714" style="2" customWidth="1"/>
    <col min="14" max="14" width="15.5714285714286" customWidth="1"/>
    <col min="16" max="16" width="17.5714285714286" customWidth="1"/>
    <col min="17" max="17" width="15.2857142857143" customWidth="1"/>
    <col min="18" max="18" width="15.7142857142857" customWidth="1"/>
  </cols>
  <sheetData>
    <row r="1" spans="1:18">
      <c r="A1" s="4" t="s">
        <v>18</v>
      </c>
      <c r="B1" s="5" t="s">
        <v>19</v>
      </c>
      <c r="C1" s="4" t="s">
        <v>20</v>
      </c>
      <c r="D1" s="4" t="s">
        <v>21</v>
      </c>
      <c r="E1" s="6" t="s">
        <v>22</v>
      </c>
      <c r="F1" s="4" t="s">
        <v>23</v>
      </c>
      <c r="G1" s="7" t="s">
        <v>24</v>
      </c>
      <c r="H1" s="8" t="s">
        <v>25</v>
      </c>
      <c r="I1" s="7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</row>
    <row r="2" spans="1:18">
      <c r="A2" s="2">
        <v>68</v>
      </c>
      <c r="B2" s="2" t="str">
        <f t="shared" ref="B2:B33" si="0">IF(A2&lt;18,"Child",IF(A2&lt;30,"Young Adult",IF(A2&lt;60,"Adult","Senior Citizen")))</f>
        <v>Senior Citizen</v>
      </c>
      <c r="C2" s="2">
        <v>158</v>
      </c>
      <c r="D2" s="2">
        <v>159</v>
      </c>
      <c r="E2" s="2">
        <v>134</v>
      </c>
      <c r="F2" s="2">
        <v>27</v>
      </c>
      <c r="G2" s="2" t="str">
        <f t="shared" ref="G2:G33" si="1">IF(F2&lt;18.5,"Underweight",IF(F2&lt;25,"Normal",IF(F2&lt;30,"Overweight","Obese")))</f>
        <v>Overweight</v>
      </c>
      <c r="H2" s="3">
        <v>137.41</v>
      </c>
      <c r="I2" s="3" t="str">
        <f t="shared" ref="I2:I33" si="2">IF(H2&lt;100,"Low",IF(H2&lt;=65,"Medium","High"))</f>
        <v>High</v>
      </c>
      <c r="J2" s="2">
        <v>0</v>
      </c>
      <c r="K2" s="2">
        <v>0</v>
      </c>
      <c r="L2" s="2">
        <v>6</v>
      </c>
      <c r="M2" s="2">
        <v>1</v>
      </c>
      <c r="N2" s="2">
        <v>1</v>
      </c>
    </row>
    <row r="3" spans="1:18">
      <c r="A3" s="2">
        <v>58</v>
      </c>
      <c r="B3" s="2" t="str">
        <f t="shared" si="0"/>
        <v>Adult</v>
      </c>
      <c r="C3" s="2">
        <v>237</v>
      </c>
      <c r="D3" s="2">
        <v>175</v>
      </c>
      <c r="E3" s="2">
        <v>163</v>
      </c>
      <c r="F3" s="2">
        <v>27.2</v>
      </c>
      <c r="G3" s="2" t="str">
        <f t="shared" si="1"/>
        <v>Overweight</v>
      </c>
      <c r="H3" s="3">
        <v>192.08</v>
      </c>
      <c r="I3" s="3" t="str">
        <f t="shared" si="2"/>
        <v>High</v>
      </c>
      <c r="J3" s="2">
        <v>1</v>
      </c>
      <c r="K3" s="2">
        <v>1</v>
      </c>
      <c r="L3" s="2">
        <v>0</v>
      </c>
      <c r="M3" s="2">
        <v>0</v>
      </c>
      <c r="N3" s="2">
        <v>1</v>
      </c>
    </row>
    <row r="4" spans="1:18">
      <c r="A4" s="2">
        <v>44</v>
      </c>
      <c r="B4" s="2" t="str">
        <f t="shared" si="0"/>
        <v>Adult</v>
      </c>
      <c r="C4" s="2">
        <v>278</v>
      </c>
      <c r="D4" s="2">
        <v>100</v>
      </c>
      <c r="E4" s="2">
        <v>148</v>
      </c>
      <c r="F4" s="2">
        <v>28.8</v>
      </c>
      <c r="G4" s="2" t="str">
        <f t="shared" si="1"/>
        <v>Overweight</v>
      </c>
      <c r="H4" s="3">
        <v>147.3</v>
      </c>
      <c r="I4" s="3" t="str">
        <f t="shared" si="2"/>
        <v>High</v>
      </c>
      <c r="J4" s="2">
        <v>0</v>
      </c>
      <c r="K4" s="2">
        <v>1</v>
      </c>
      <c r="L4" s="2">
        <v>3</v>
      </c>
      <c r="M4" s="2">
        <v>0</v>
      </c>
      <c r="N4" s="2">
        <v>5</v>
      </c>
    </row>
    <row r="5" spans="1:18">
      <c r="A5" s="2">
        <v>72</v>
      </c>
      <c r="B5" s="2" t="str">
        <f t="shared" si="0"/>
        <v>Senior Citizen</v>
      </c>
      <c r="C5" s="2">
        <v>285</v>
      </c>
      <c r="D5" s="2">
        <v>105</v>
      </c>
      <c r="E5" s="2">
        <v>116</v>
      </c>
      <c r="F5" s="2">
        <v>30.3</v>
      </c>
      <c r="G5" s="2" t="str">
        <f t="shared" si="1"/>
        <v>Obese</v>
      </c>
      <c r="H5" s="3">
        <v>212.57</v>
      </c>
      <c r="I5" s="3" t="str">
        <f t="shared" si="2"/>
        <v>High</v>
      </c>
      <c r="J5" s="2">
        <v>0</v>
      </c>
      <c r="K5" s="2">
        <v>1</v>
      </c>
      <c r="L5" s="2">
        <v>3</v>
      </c>
      <c r="M5" s="2">
        <v>1</v>
      </c>
      <c r="N5" s="2">
        <v>3</v>
      </c>
      <c r="P5" s="9" t="s">
        <v>32</v>
      </c>
      <c r="Q5" s="10" t="s">
        <v>33</v>
      </c>
      <c r="R5" s="10" t="s">
        <v>34</v>
      </c>
    </row>
    <row r="6" spans="1:18">
      <c r="A6" s="2">
        <v>37</v>
      </c>
      <c r="B6" s="2" t="str">
        <f t="shared" si="0"/>
        <v>Adult</v>
      </c>
      <c r="C6" s="2">
        <v>212</v>
      </c>
      <c r="D6" s="2">
        <v>162</v>
      </c>
      <c r="E6" s="2">
        <v>143</v>
      </c>
      <c r="F6" s="2">
        <v>34.6</v>
      </c>
      <c r="G6" s="2" t="str">
        <f t="shared" si="1"/>
        <v>Obese</v>
      </c>
      <c r="H6" s="3">
        <v>152.52</v>
      </c>
      <c r="I6" s="3" t="str">
        <f t="shared" si="2"/>
        <v>High</v>
      </c>
      <c r="J6" s="2">
        <v>0</v>
      </c>
      <c r="K6" s="2">
        <v>1</v>
      </c>
      <c r="L6" s="2">
        <v>4</v>
      </c>
      <c r="M6" s="2">
        <v>1</v>
      </c>
      <c r="N6" s="2">
        <v>4</v>
      </c>
      <c r="P6" s="11" t="s">
        <v>27</v>
      </c>
      <c r="Q6" s="12" t="s">
        <v>35</v>
      </c>
      <c r="R6" s="12" t="s">
        <v>36</v>
      </c>
    </row>
    <row r="7" spans="1:18">
      <c r="A7" s="2">
        <v>50</v>
      </c>
      <c r="B7" s="2" t="str">
        <f t="shared" si="0"/>
        <v>Adult</v>
      </c>
      <c r="C7" s="2">
        <v>288</v>
      </c>
      <c r="D7" s="2">
        <v>148</v>
      </c>
      <c r="E7" s="2">
        <v>191</v>
      </c>
      <c r="F7" s="2">
        <v>26.8</v>
      </c>
      <c r="G7" s="2" t="str">
        <f t="shared" si="1"/>
        <v>Overweight</v>
      </c>
      <c r="H7" s="3">
        <v>194.82</v>
      </c>
      <c r="I7" s="3" t="str">
        <f t="shared" si="2"/>
        <v>High</v>
      </c>
      <c r="J7" s="2">
        <v>1</v>
      </c>
      <c r="K7" s="2">
        <v>1</v>
      </c>
      <c r="L7" s="2">
        <v>6</v>
      </c>
      <c r="M7" s="2">
        <v>0</v>
      </c>
      <c r="N7" s="2">
        <v>3</v>
      </c>
      <c r="P7" s="11" t="s">
        <v>28</v>
      </c>
      <c r="Q7" s="12" t="s">
        <v>37</v>
      </c>
      <c r="R7" s="12" t="s">
        <v>28</v>
      </c>
    </row>
    <row r="8" ht="30" spans="1:18">
      <c r="A8" s="2">
        <v>68</v>
      </c>
      <c r="B8" s="2" t="str">
        <f t="shared" si="0"/>
        <v>Senior Citizen</v>
      </c>
      <c r="C8" s="2">
        <v>230</v>
      </c>
      <c r="D8" s="2">
        <v>159</v>
      </c>
      <c r="E8" s="2">
        <v>129</v>
      </c>
      <c r="F8" s="2">
        <v>23.5</v>
      </c>
      <c r="G8" s="2" t="str">
        <f t="shared" si="1"/>
        <v>Normal</v>
      </c>
      <c r="H8" s="3">
        <v>153.47</v>
      </c>
      <c r="I8" s="3" t="str">
        <f t="shared" si="2"/>
        <v>High</v>
      </c>
      <c r="J8" s="2">
        <v>0</v>
      </c>
      <c r="K8" s="2">
        <v>1</v>
      </c>
      <c r="L8" s="2">
        <v>6</v>
      </c>
      <c r="M8" s="2">
        <v>0</v>
      </c>
      <c r="N8" s="2">
        <v>1</v>
      </c>
      <c r="P8" s="11" t="s">
        <v>30</v>
      </c>
      <c r="Q8" s="12" t="s">
        <v>38</v>
      </c>
      <c r="R8" s="12" t="s">
        <v>39</v>
      </c>
    </row>
    <row r="9" spans="1:18">
      <c r="A9" s="2">
        <v>48</v>
      </c>
      <c r="B9" s="2" t="str">
        <f t="shared" si="0"/>
        <v>Adult</v>
      </c>
      <c r="C9" s="2">
        <v>285</v>
      </c>
      <c r="D9" s="2">
        <v>169</v>
      </c>
      <c r="E9" s="2">
        <v>192</v>
      </c>
      <c r="F9" s="2">
        <v>31.5</v>
      </c>
      <c r="G9" s="2" t="str">
        <f t="shared" si="1"/>
        <v>Obese</v>
      </c>
      <c r="H9" s="3">
        <v>161.11</v>
      </c>
      <c r="I9" s="3" t="str">
        <f t="shared" si="2"/>
        <v>High</v>
      </c>
      <c r="J9" s="2">
        <v>0</v>
      </c>
      <c r="K9" s="2">
        <v>1</v>
      </c>
      <c r="L9" s="2">
        <v>3</v>
      </c>
      <c r="M9" s="2">
        <v>1</v>
      </c>
      <c r="N9" s="2">
        <v>1</v>
      </c>
    </row>
    <row r="10" spans="1:18">
      <c r="A10" s="2">
        <v>52</v>
      </c>
      <c r="B10" s="2" t="str">
        <f t="shared" si="0"/>
        <v>Adult</v>
      </c>
      <c r="C10" s="2">
        <v>182</v>
      </c>
      <c r="D10" s="2">
        <v>92</v>
      </c>
      <c r="E10" s="2">
        <v>145</v>
      </c>
      <c r="F10" s="2">
        <v>22.6</v>
      </c>
      <c r="G10" s="2" t="str">
        <f t="shared" si="1"/>
        <v>Normal</v>
      </c>
      <c r="H10" s="3">
        <v>173.67</v>
      </c>
      <c r="I10" s="3" t="str">
        <f t="shared" si="2"/>
        <v>High</v>
      </c>
      <c r="J10" s="2">
        <v>0</v>
      </c>
      <c r="K10" s="2">
        <v>1</v>
      </c>
      <c r="L10" s="2">
        <v>6</v>
      </c>
      <c r="M10" s="2">
        <v>1</v>
      </c>
      <c r="N10" s="2">
        <v>5</v>
      </c>
    </row>
    <row r="11" spans="1:18">
      <c r="A11" s="2">
        <v>40</v>
      </c>
      <c r="B11" s="2" t="str">
        <f t="shared" si="0"/>
        <v>Adult</v>
      </c>
      <c r="C11" s="2">
        <v>272</v>
      </c>
      <c r="D11" s="2">
        <v>109</v>
      </c>
      <c r="E11" s="2">
        <v>105</v>
      </c>
      <c r="F11" s="2">
        <v>25.5</v>
      </c>
      <c r="G11" s="2" t="str">
        <f t="shared" si="1"/>
        <v>Overweight</v>
      </c>
      <c r="H11" s="3">
        <v>197.26</v>
      </c>
      <c r="I11" s="3" t="str">
        <f t="shared" si="2"/>
        <v>High</v>
      </c>
      <c r="J11" s="2">
        <v>1</v>
      </c>
      <c r="K11" s="2">
        <v>0</v>
      </c>
      <c r="L11" s="2">
        <v>2</v>
      </c>
      <c r="M11" s="2">
        <v>1</v>
      </c>
      <c r="N11" s="2">
        <v>6</v>
      </c>
    </row>
    <row r="12" spans="1:18">
      <c r="A12" s="2">
        <v>40</v>
      </c>
      <c r="B12" s="2" t="str">
        <f t="shared" si="0"/>
        <v>Adult</v>
      </c>
      <c r="C12" s="2">
        <v>154</v>
      </c>
      <c r="D12" s="2">
        <v>148</v>
      </c>
      <c r="E12" s="2">
        <v>198</v>
      </c>
      <c r="F12" s="2">
        <v>19.3</v>
      </c>
      <c r="G12" s="2" t="str">
        <f t="shared" si="1"/>
        <v>Normal</v>
      </c>
      <c r="H12" s="3">
        <v>46.19</v>
      </c>
      <c r="I12" s="3" t="str">
        <f t="shared" si="2"/>
        <v>Low</v>
      </c>
      <c r="J12" s="2">
        <v>0</v>
      </c>
      <c r="K12" s="2">
        <v>1</v>
      </c>
      <c r="L12" s="2">
        <v>5</v>
      </c>
      <c r="M12" s="2">
        <v>1</v>
      </c>
      <c r="N12" s="2">
        <v>3</v>
      </c>
    </row>
    <row r="13" spans="1:18">
      <c r="A13" s="2">
        <v>53</v>
      </c>
      <c r="B13" s="2" t="str">
        <f t="shared" si="0"/>
        <v>Adult</v>
      </c>
      <c r="C13" s="2">
        <v>190</v>
      </c>
      <c r="D13" s="2">
        <v>125</v>
      </c>
      <c r="E13" s="2">
        <v>136</v>
      </c>
      <c r="F13" s="2">
        <v>18.4</v>
      </c>
      <c r="G13" s="2" t="str">
        <f t="shared" si="1"/>
        <v>Underweight</v>
      </c>
      <c r="H13" s="3">
        <v>110.15</v>
      </c>
      <c r="I13" s="3" t="str">
        <f t="shared" si="2"/>
        <v>High</v>
      </c>
      <c r="J13" s="2">
        <v>0</v>
      </c>
      <c r="K13" s="2">
        <v>0</v>
      </c>
      <c r="L13" s="2">
        <v>1</v>
      </c>
      <c r="M13" s="2">
        <v>0</v>
      </c>
      <c r="N13" s="2">
        <v>9</v>
      </c>
    </row>
    <row r="14" spans="1:18">
      <c r="A14" s="2">
        <v>65</v>
      </c>
      <c r="B14" s="2" t="str">
        <f t="shared" si="0"/>
        <v>Senior Citizen</v>
      </c>
      <c r="C14" s="2">
        <v>177</v>
      </c>
      <c r="D14" s="2">
        <v>108</v>
      </c>
      <c r="E14" s="2">
        <v>123</v>
      </c>
      <c r="F14" s="2">
        <v>34.4</v>
      </c>
      <c r="G14" s="2" t="str">
        <f t="shared" si="1"/>
        <v>Obese</v>
      </c>
      <c r="H14" s="3">
        <v>180.45</v>
      </c>
      <c r="I14" s="3" t="str">
        <f t="shared" si="2"/>
        <v>High</v>
      </c>
      <c r="J14" s="2">
        <v>0</v>
      </c>
      <c r="K14" s="2">
        <v>1</v>
      </c>
      <c r="L14" s="2">
        <v>9</v>
      </c>
      <c r="M14" s="2">
        <v>1</v>
      </c>
      <c r="N14" s="2">
        <v>5</v>
      </c>
    </row>
    <row r="15" spans="1:18">
      <c r="A15" s="2">
        <v>69</v>
      </c>
      <c r="B15" s="2" t="str">
        <f t="shared" si="0"/>
        <v>Senior Citizen</v>
      </c>
      <c r="C15" s="2">
        <v>284</v>
      </c>
      <c r="D15" s="2">
        <v>179</v>
      </c>
      <c r="E15" s="2">
        <v>192</v>
      </c>
      <c r="F15" s="2">
        <v>32.2</v>
      </c>
      <c r="G15" s="2" t="str">
        <f t="shared" si="1"/>
        <v>Obese</v>
      </c>
      <c r="H15" s="3">
        <v>153.05</v>
      </c>
      <c r="I15" s="3" t="str">
        <f t="shared" si="2"/>
        <v>High</v>
      </c>
      <c r="J15" s="2">
        <v>0</v>
      </c>
      <c r="K15" s="2">
        <v>1</v>
      </c>
      <c r="L15" s="2">
        <v>8</v>
      </c>
      <c r="M15" s="2">
        <v>1</v>
      </c>
      <c r="N15" s="2">
        <v>8</v>
      </c>
    </row>
    <row r="16" spans="1:18">
      <c r="A16" s="2">
        <v>53</v>
      </c>
      <c r="B16" s="2" t="str">
        <f t="shared" si="0"/>
        <v>Adult</v>
      </c>
      <c r="C16" s="2">
        <v>221</v>
      </c>
      <c r="D16" s="2">
        <v>156</v>
      </c>
      <c r="E16" s="2">
        <v>145</v>
      </c>
      <c r="F16" s="2">
        <v>29.8</v>
      </c>
      <c r="G16" s="2" t="str">
        <f t="shared" si="1"/>
        <v>Overweight</v>
      </c>
      <c r="H16" s="3">
        <v>182.12</v>
      </c>
      <c r="I16" s="3" t="str">
        <f t="shared" si="2"/>
        <v>High</v>
      </c>
      <c r="J16" s="2">
        <v>1</v>
      </c>
      <c r="K16" s="2">
        <v>0</v>
      </c>
      <c r="L16" s="2">
        <v>4</v>
      </c>
      <c r="M16" s="2">
        <v>0</v>
      </c>
      <c r="N16" s="2">
        <v>1</v>
      </c>
    </row>
    <row r="17" spans="1:14">
      <c r="A17" s="2">
        <v>32</v>
      </c>
      <c r="B17" s="2" t="str">
        <f t="shared" si="0"/>
        <v>Adult</v>
      </c>
      <c r="C17" s="2">
        <v>161</v>
      </c>
      <c r="D17" s="2">
        <v>108</v>
      </c>
      <c r="E17" s="2">
        <v>152</v>
      </c>
      <c r="F17" s="2">
        <v>25</v>
      </c>
      <c r="G17" s="2" t="str">
        <f t="shared" si="1"/>
        <v>Overweight</v>
      </c>
      <c r="H17" s="3">
        <v>128.11</v>
      </c>
      <c r="I17" s="3" t="str">
        <f t="shared" si="2"/>
        <v>High</v>
      </c>
      <c r="J17" s="2">
        <v>0</v>
      </c>
      <c r="K17" s="2">
        <v>1</v>
      </c>
      <c r="L17" s="2">
        <v>5</v>
      </c>
      <c r="M17" s="2">
        <v>1</v>
      </c>
      <c r="N17" s="2">
        <v>5</v>
      </c>
    </row>
    <row r="18" spans="1:14">
      <c r="A18" s="2">
        <v>51</v>
      </c>
      <c r="B18" s="2" t="str">
        <f t="shared" si="0"/>
        <v>Adult</v>
      </c>
      <c r="C18" s="2">
        <v>182</v>
      </c>
      <c r="D18" s="2">
        <v>109</v>
      </c>
      <c r="E18" s="2">
        <v>194</v>
      </c>
      <c r="F18" s="2">
        <v>20.9</v>
      </c>
      <c r="G18" s="2" t="str">
        <f t="shared" si="1"/>
        <v>Normal</v>
      </c>
      <c r="H18" s="3">
        <v>86.93</v>
      </c>
      <c r="I18" s="3" t="str">
        <f t="shared" si="2"/>
        <v>Low</v>
      </c>
      <c r="J18" s="2">
        <v>1</v>
      </c>
      <c r="K18" s="2">
        <v>0</v>
      </c>
      <c r="L18" s="2">
        <v>3</v>
      </c>
      <c r="M18" s="2">
        <v>0</v>
      </c>
      <c r="N18" s="2">
        <v>3</v>
      </c>
    </row>
    <row r="19" spans="1:14">
      <c r="A19" s="2">
        <v>31</v>
      </c>
      <c r="B19" s="2" t="str">
        <f t="shared" si="0"/>
        <v>Adult</v>
      </c>
      <c r="C19" s="2">
        <v>197</v>
      </c>
      <c r="D19" s="2">
        <v>160</v>
      </c>
      <c r="E19" s="2">
        <v>198</v>
      </c>
      <c r="F19" s="2">
        <v>20.7</v>
      </c>
      <c r="G19" s="2" t="str">
        <f t="shared" si="1"/>
        <v>Normal</v>
      </c>
      <c r="H19" s="3">
        <v>119.29</v>
      </c>
      <c r="I19" s="3" t="str">
        <f t="shared" si="2"/>
        <v>High</v>
      </c>
      <c r="J19" s="2">
        <v>1</v>
      </c>
      <c r="K19" s="2">
        <v>1</v>
      </c>
      <c r="L19" s="2">
        <v>9</v>
      </c>
      <c r="M19" s="2">
        <v>1</v>
      </c>
      <c r="N19" s="2">
        <v>1</v>
      </c>
    </row>
    <row r="20" spans="1:14">
      <c r="A20" s="2">
        <v>53</v>
      </c>
      <c r="B20" s="2" t="str">
        <f t="shared" si="0"/>
        <v>Adult</v>
      </c>
      <c r="C20" s="2">
        <v>211</v>
      </c>
      <c r="D20" s="2">
        <v>141</v>
      </c>
      <c r="E20" s="2">
        <v>159</v>
      </c>
      <c r="F20" s="2">
        <v>22.3</v>
      </c>
      <c r="G20" s="2" t="str">
        <f t="shared" si="1"/>
        <v>Normal</v>
      </c>
      <c r="H20" s="3">
        <v>74.5</v>
      </c>
      <c r="I20" s="3" t="str">
        <f t="shared" si="2"/>
        <v>Low</v>
      </c>
      <c r="J20" s="2">
        <v>1</v>
      </c>
      <c r="K20" s="2">
        <v>1</v>
      </c>
      <c r="L20" s="2">
        <v>6</v>
      </c>
      <c r="M20" s="2">
        <v>1</v>
      </c>
      <c r="N20" s="2">
        <v>4</v>
      </c>
    </row>
    <row r="21" spans="1:14">
      <c r="A21" s="2">
        <v>73</v>
      </c>
      <c r="B21" s="2" t="str">
        <f t="shared" si="0"/>
        <v>Senior Citizen</v>
      </c>
      <c r="C21" s="2">
        <v>186</v>
      </c>
      <c r="D21" s="2">
        <v>122</v>
      </c>
      <c r="E21" s="2">
        <v>196</v>
      </c>
      <c r="F21" s="2">
        <v>27.3</v>
      </c>
      <c r="G21" s="2" t="str">
        <f t="shared" si="1"/>
        <v>Overweight</v>
      </c>
      <c r="H21" s="3">
        <v>181.66</v>
      </c>
      <c r="I21" s="3" t="str">
        <f t="shared" si="2"/>
        <v>High</v>
      </c>
      <c r="J21" s="2">
        <v>0</v>
      </c>
      <c r="K21" s="2">
        <v>0</v>
      </c>
      <c r="L21" s="2">
        <v>8</v>
      </c>
      <c r="M21" s="2">
        <v>1</v>
      </c>
      <c r="N21" s="2">
        <v>5</v>
      </c>
    </row>
    <row r="22" spans="1:14">
      <c r="A22" s="2">
        <v>59</v>
      </c>
      <c r="B22" s="2" t="str">
        <f t="shared" si="0"/>
        <v>Adult</v>
      </c>
      <c r="C22" s="2">
        <v>248</v>
      </c>
      <c r="D22" s="2">
        <v>129</v>
      </c>
      <c r="E22" s="2">
        <v>162</v>
      </c>
      <c r="F22" s="2">
        <v>30.1</v>
      </c>
      <c r="G22" s="2" t="str">
        <f t="shared" si="1"/>
        <v>Obese</v>
      </c>
      <c r="H22" s="3">
        <v>152.63</v>
      </c>
      <c r="I22" s="3" t="str">
        <f t="shared" si="2"/>
        <v>High</v>
      </c>
      <c r="J22" s="2">
        <v>1</v>
      </c>
      <c r="K22" s="2">
        <v>1</v>
      </c>
      <c r="L22" s="2">
        <v>6</v>
      </c>
      <c r="M22" s="2">
        <v>0</v>
      </c>
      <c r="N22" s="2">
        <v>7</v>
      </c>
    </row>
    <row r="23" spans="1:14">
      <c r="A23" s="2">
        <v>67</v>
      </c>
      <c r="B23" s="2" t="str">
        <f t="shared" si="0"/>
        <v>Senior Citizen</v>
      </c>
      <c r="C23" s="2">
        <v>253</v>
      </c>
      <c r="D23" s="2">
        <v>128</v>
      </c>
      <c r="E23" s="2">
        <v>184</v>
      </c>
      <c r="F23" s="2">
        <v>29.2</v>
      </c>
      <c r="G23" s="2" t="str">
        <f t="shared" si="1"/>
        <v>Overweight</v>
      </c>
      <c r="H23" s="3">
        <v>184.41</v>
      </c>
      <c r="I23" s="3" t="str">
        <f t="shared" si="2"/>
        <v>High</v>
      </c>
      <c r="J23" s="2">
        <v>0</v>
      </c>
      <c r="K23" s="2">
        <v>0</v>
      </c>
      <c r="L23" s="2">
        <v>0</v>
      </c>
      <c r="M23" s="2">
        <v>0</v>
      </c>
      <c r="N23" s="2">
        <v>1</v>
      </c>
    </row>
    <row r="24" spans="1:14">
      <c r="A24" s="2">
        <v>31</v>
      </c>
      <c r="B24" s="2" t="str">
        <f t="shared" si="0"/>
        <v>Adult</v>
      </c>
      <c r="C24" s="2">
        <v>184</v>
      </c>
      <c r="D24" s="2">
        <v>171</v>
      </c>
      <c r="E24" s="2">
        <v>131</v>
      </c>
      <c r="F24" s="2">
        <v>22.8</v>
      </c>
      <c r="G24" s="2" t="str">
        <f t="shared" si="1"/>
        <v>Normal</v>
      </c>
      <c r="H24" s="3">
        <v>152.07</v>
      </c>
      <c r="I24" s="3" t="str">
        <f t="shared" si="2"/>
        <v>High</v>
      </c>
      <c r="J24" s="2">
        <v>1</v>
      </c>
      <c r="K24" s="2">
        <v>1</v>
      </c>
      <c r="L24" s="2">
        <v>0</v>
      </c>
      <c r="M24" s="2">
        <v>1</v>
      </c>
      <c r="N24" s="2">
        <v>3</v>
      </c>
    </row>
    <row r="25" spans="1:14">
      <c r="A25" s="2">
        <v>50</v>
      </c>
      <c r="B25" s="2" t="str">
        <f t="shared" si="0"/>
        <v>Adult</v>
      </c>
      <c r="C25" s="2">
        <v>250</v>
      </c>
      <c r="D25" s="2">
        <v>90</v>
      </c>
      <c r="E25" s="2">
        <v>186</v>
      </c>
      <c r="F25" s="2">
        <v>34.2</v>
      </c>
      <c r="G25" s="2" t="str">
        <f t="shared" si="1"/>
        <v>Obese</v>
      </c>
      <c r="H25" s="3">
        <v>192.34</v>
      </c>
      <c r="I25" s="3" t="str">
        <f t="shared" si="2"/>
        <v>High</v>
      </c>
      <c r="J25" s="2">
        <v>1</v>
      </c>
      <c r="K25" s="2">
        <v>0</v>
      </c>
      <c r="L25" s="2">
        <v>8</v>
      </c>
      <c r="M25" s="2">
        <v>0</v>
      </c>
      <c r="N25" s="2">
        <v>2</v>
      </c>
    </row>
    <row r="26" spans="1:14">
      <c r="A26" s="2">
        <v>62</v>
      </c>
      <c r="B26" s="2" t="str">
        <f t="shared" si="0"/>
        <v>Senior Citizen</v>
      </c>
      <c r="C26" s="2">
        <v>280</v>
      </c>
      <c r="D26" s="2">
        <v>100</v>
      </c>
      <c r="E26" s="2">
        <v>132</v>
      </c>
      <c r="F26" s="2">
        <v>30.5</v>
      </c>
      <c r="G26" s="2" t="str">
        <f t="shared" si="1"/>
        <v>Obese</v>
      </c>
      <c r="H26" s="3">
        <v>161.95</v>
      </c>
      <c r="I26" s="3" t="str">
        <f t="shared" si="2"/>
        <v>High</v>
      </c>
      <c r="J26" s="2">
        <v>1</v>
      </c>
      <c r="K26" s="2">
        <v>0</v>
      </c>
      <c r="L26" s="2">
        <v>8</v>
      </c>
      <c r="M26" s="2">
        <v>0</v>
      </c>
      <c r="N26" s="2">
        <v>9</v>
      </c>
    </row>
    <row r="27" spans="1:14">
      <c r="A27" s="2">
        <v>41</v>
      </c>
      <c r="B27" s="2" t="str">
        <f t="shared" si="0"/>
        <v>Adult</v>
      </c>
      <c r="C27" s="2">
        <v>150</v>
      </c>
      <c r="D27" s="2">
        <v>146</v>
      </c>
      <c r="E27" s="2">
        <v>166</v>
      </c>
      <c r="F27" s="2">
        <v>27.4</v>
      </c>
      <c r="G27" s="2" t="str">
        <f t="shared" si="1"/>
        <v>Overweight</v>
      </c>
      <c r="H27" s="3">
        <v>122.81</v>
      </c>
      <c r="I27" s="3" t="str">
        <f t="shared" si="2"/>
        <v>High</v>
      </c>
      <c r="J27" s="2">
        <v>1</v>
      </c>
      <c r="K27" s="2">
        <v>1</v>
      </c>
      <c r="L27" s="2">
        <v>3</v>
      </c>
      <c r="M27" s="2">
        <v>0</v>
      </c>
      <c r="N27" s="2">
        <v>10</v>
      </c>
    </row>
    <row r="28" spans="1:14">
      <c r="A28" s="2">
        <v>51</v>
      </c>
      <c r="B28" s="2" t="str">
        <f t="shared" si="0"/>
        <v>Adult</v>
      </c>
      <c r="C28" s="2">
        <v>154</v>
      </c>
      <c r="D28" s="2">
        <v>178</v>
      </c>
      <c r="E28" s="2">
        <v>117</v>
      </c>
      <c r="F28" s="2">
        <v>28.4</v>
      </c>
      <c r="G28" s="2" t="str">
        <f t="shared" si="1"/>
        <v>Overweight</v>
      </c>
      <c r="H28" s="3">
        <v>157.37</v>
      </c>
      <c r="I28" s="3" t="str">
        <f t="shared" si="2"/>
        <v>High</v>
      </c>
      <c r="J28" s="2">
        <v>1</v>
      </c>
      <c r="K28" s="2">
        <v>1</v>
      </c>
      <c r="L28" s="2">
        <v>8</v>
      </c>
      <c r="M28" s="2">
        <v>0</v>
      </c>
      <c r="N28" s="2">
        <v>6</v>
      </c>
    </row>
    <row r="29" spans="1:14">
      <c r="A29" s="2">
        <v>73</v>
      </c>
      <c r="B29" s="2" t="str">
        <f t="shared" si="0"/>
        <v>Senior Citizen</v>
      </c>
      <c r="C29" s="2">
        <v>291</v>
      </c>
      <c r="D29" s="2">
        <v>139</v>
      </c>
      <c r="E29" s="2">
        <v>124</v>
      </c>
      <c r="F29" s="2">
        <v>25.1</v>
      </c>
      <c r="G29" s="2" t="str">
        <f t="shared" si="1"/>
        <v>Overweight</v>
      </c>
      <c r="H29" s="3">
        <v>212.08</v>
      </c>
      <c r="I29" s="3" t="str">
        <f t="shared" si="2"/>
        <v>High</v>
      </c>
      <c r="J29" s="2">
        <v>1</v>
      </c>
      <c r="K29" s="2">
        <v>0</v>
      </c>
      <c r="L29" s="2">
        <v>2</v>
      </c>
      <c r="M29" s="2">
        <v>0</v>
      </c>
      <c r="N29" s="2">
        <v>10</v>
      </c>
    </row>
    <row r="30" spans="1:14">
      <c r="A30" s="2">
        <v>54</v>
      </c>
      <c r="B30" s="2" t="str">
        <f t="shared" si="0"/>
        <v>Adult</v>
      </c>
      <c r="C30" s="2">
        <v>252</v>
      </c>
      <c r="D30" s="2">
        <v>112</v>
      </c>
      <c r="E30" s="2">
        <v>194</v>
      </c>
      <c r="F30" s="2">
        <v>22.2</v>
      </c>
      <c r="G30" s="2" t="str">
        <f t="shared" si="1"/>
        <v>Normal</v>
      </c>
      <c r="H30" s="3">
        <v>174.13</v>
      </c>
      <c r="I30" s="3" t="str">
        <f t="shared" si="2"/>
        <v>High</v>
      </c>
      <c r="J30" s="2">
        <v>1</v>
      </c>
      <c r="K30" s="2">
        <v>1</v>
      </c>
      <c r="L30" s="2">
        <v>6</v>
      </c>
      <c r="M30" s="2">
        <v>0</v>
      </c>
      <c r="N30" s="2">
        <v>3</v>
      </c>
    </row>
    <row r="31" spans="1:14">
      <c r="A31" s="2">
        <v>78</v>
      </c>
      <c r="B31" s="2" t="str">
        <f t="shared" si="0"/>
        <v>Senior Citizen</v>
      </c>
      <c r="C31" s="2">
        <v>176</v>
      </c>
      <c r="D31" s="2">
        <v>120</v>
      </c>
      <c r="E31" s="2">
        <v>153</v>
      </c>
      <c r="F31" s="2">
        <v>24.1</v>
      </c>
      <c r="G31" s="2" t="str">
        <f t="shared" si="1"/>
        <v>Normal</v>
      </c>
      <c r="H31" s="3">
        <v>115.03</v>
      </c>
      <c r="I31" s="3" t="str">
        <f t="shared" si="2"/>
        <v>High</v>
      </c>
      <c r="J31" s="2">
        <v>1</v>
      </c>
      <c r="K31" s="2">
        <v>1</v>
      </c>
      <c r="L31" s="2">
        <v>5</v>
      </c>
      <c r="M31" s="2">
        <v>1</v>
      </c>
      <c r="N31" s="2">
        <v>8</v>
      </c>
    </row>
    <row r="32" spans="1:14">
      <c r="A32" s="2">
        <v>56</v>
      </c>
      <c r="B32" s="2" t="str">
        <f t="shared" si="0"/>
        <v>Adult</v>
      </c>
      <c r="C32" s="2">
        <v>286</v>
      </c>
      <c r="D32" s="2">
        <v>131</v>
      </c>
      <c r="E32" s="2">
        <v>157</v>
      </c>
      <c r="F32" s="2">
        <v>30.9</v>
      </c>
      <c r="G32" s="2" t="str">
        <f t="shared" si="1"/>
        <v>Obese</v>
      </c>
      <c r="H32" s="3">
        <v>158.97</v>
      </c>
      <c r="I32" s="3" t="str">
        <f t="shared" si="2"/>
        <v>High</v>
      </c>
      <c r="J32" s="2">
        <v>0</v>
      </c>
      <c r="K32" s="2">
        <v>1</v>
      </c>
      <c r="L32" s="2">
        <v>7</v>
      </c>
      <c r="M32" s="2">
        <v>1</v>
      </c>
      <c r="N32" s="2">
        <v>8</v>
      </c>
    </row>
    <row r="33" spans="1:14">
      <c r="A33" s="2">
        <v>71</v>
      </c>
      <c r="B33" s="2" t="str">
        <f t="shared" si="0"/>
        <v>Senior Citizen</v>
      </c>
      <c r="C33" s="2">
        <v>164</v>
      </c>
      <c r="D33" s="2">
        <v>96</v>
      </c>
      <c r="E33" s="2">
        <v>166</v>
      </c>
      <c r="F33" s="2">
        <v>18.2</v>
      </c>
      <c r="G33" s="2" t="str">
        <f t="shared" si="1"/>
        <v>Underweight</v>
      </c>
      <c r="H33" s="3">
        <v>145.8</v>
      </c>
      <c r="I33" s="3" t="str">
        <f t="shared" si="2"/>
        <v>High</v>
      </c>
      <c r="J33" s="2">
        <v>0</v>
      </c>
      <c r="K33" s="2">
        <v>0</v>
      </c>
      <c r="L33" s="2">
        <v>8</v>
      </c>
      <c r="M33" s="2">
        <v>0</v>
      </c>
      <c r="N33" s="2">
        <v>2</v>
      </c>
    </row>
    <row r="34" spans="1:14">
      <c r="A34" s="2">
        <v>57</v>
      </c>
      <c r="B34" s="2" t="str">
        <f t="shared" ref="B34:B65" si="3">IF(A34&lt;18,"Child",IF(A34&lt;30,"Young Adult",IF(A34&lt;60,"Adult","Senior Citizen")))</f>
        <v>Adult</v>
      </c>
      <c r="C34" s="2">
        <v>239</v>
      </c>
      <c r="D34" s="2">
        <v>105</v>
      </c>
      <c r="E34" s="2">
        <v>145</v>
      </c>
      <c r="F34" s="2">
        <v>20</v>
      </c>
      <c r="G34" s="2" t="str">
        <f t="shared" ref="G34:G65" si="4">IF(F34&lt;18.5,"Underweight",IF(F34&lt;25,"Normal",IF(F34&lt;30,"Overweight","Obese")))</f>
        <v>Normal</v>
      </c>
      <c r="H34" s="3">
        <v>78.84</v>
      </c>
      <c r="I34" s="3" t="str">
        <f t="shared" ref="I34:I65" si="5">IF(H34&lt;100,"Low",IF(H34&lt;=65,"Medium","High"))</f>
        <v>Low</v>
      </c>
      <c r="J34" s="2">
        <v>1</v>
      </c>
      <c r="K34" s="2">
        <v>0</v>
      </c>
      <c r="L34" s="2">
        <v>4</v>
      </c>
      <c r="M34" s="2">
        <v>1</v>
      </c>
      <c r="N34" s="2">
        <v>6</v>
      </c>
    </row>
    <row r="35" spans="1:14">
      <c r="A35" s="2">
        <v>45</v>
      </c>
      <c r="B35" s="2" t="str">
        <f t="shared" si="3"/>
        <v>Adult</v>
      </c>
      <c r="C35" s="2">
        <v>191</v>
      </c>
      <c r="D35" s="2">
        <v>179</v>
      </c>
      <c r="E35" s="2">
        <v>123</v>
      </c>
      <c r="F35" s="2">
        <v>18.8</v>
      </c>
      <c r="G35" s="2" t="str">
        <f t="shared" si="4"/>
        <v>Normal</v>
      </c>
      <c r="H35" s="3">
        <v>185.35</v>
      </c>
      <c r="I35" s="3" t="str">
        <f t="shared" si="5"/>
        <v>High</v>
      </c>
      <c r="J35" s="2">
        <v>1</v>
      </c>
      <c r="K35" s="2">
        <v>0</v>
      </c>
      <c r="L35" s="2">
        <v>0</v>
      </c>
      <c r="M35" s="2">
        <v>1</v>
      </c>
      <c r="N35" s="2">
        <v>7</v>
      </c>
    </row>
    <row r="36" spans="1:14">
      <c r="A36" s="2">
        <v>44</v>
      </c>
      <c r="B36" s="2" t="str">
        <f t="shared" si="3"/>
        <v>Adult</v>
      </c>
      <c r="C36" s="2">
        <v>273</v>
      </c>
      <c r="D36" s="2">
        <v>149</v>
      </c>
      <c r="E36" s="2">
        <v>131</v>
      </c>
      <c r="F36" s="2">
        <v>18.7</v>
      </c>
      <c r="G36" s="2" t="str">
        <f t="shared" si="4"/>
        <v>Normal</v>
      </c>
      <c r="H36" s="3">
        <v>152.43</v>
      </c>
      <c r="I36" s="3" t="str">
        <f t="shared" si="5"/>
        <v>High</v>
      </c>
      <c r="J36" s="2">
        <v>1</v>
      </c>
      <c r="K36" s="2">
        <v>0</v>
      </c>
      <c r="L36" s="2">
        <v>2</v>
      </c>
      <c r="M36" s="2">
        <v>1</v>
      </c>
      <c r="N36" s="2">
        <v>2</v>
      </c>
    </row>
    <row r="37" spans="1:14">
      <c r="A37" s="2">
        <v>76</v>
      </c>
      <c r="B37" s="2" t="str">
        <f t="shared" si="3"/>
        <v>Senior Citizen</v>
      </c>
      <c r="C37" s="2">
        <v>212</v>
      </c>
      <c r="D37" s="2">
        <v>91</v>
      </c>
      <c r="E37" s="2">
        <v>146</v>
      </c>
      <c r="F37" s="2">
        <v>32.5</v>
      </c>
      <c r="G37" s="2" t="str">
        <f t="shared" si="4"/>
        <v>Obese</v>
      </c>
      <c r="H37" s="3">
        <v>149.76</v>
      </c>
      <c r="I37" s="3" t="str">
        <f t="shared" si="5"/>
        <v>High</v>
      </c>
      <c r="J37" s="2">
        <v>0</v>
      </c>
      <c r="K37" s="2">
        <v>0</v>
      </c>
      <c r="L37" s="2">
        <v>9</v>
      </c>
      <c r="M37" s="2">
        <v>1</v>
      </c>
      <c r="N37" s="2">
        <v>10</v>
      </c>
    </row>
    <row r="38" spans="1:14">
      <c r="A38" s="2">
        <v>73</v>
      </c>
      <c r="B38" s="2" t="str">
        <f t="shared" si="3"/>
        <v>Senior Citizen</v>
      </c>
      <c r="C38" s="2">
        <v>245</v>
      </c>
      <c r="D38" s="2">
        <v>90</v>
      </c>
      <c r="E38" s="2">
        <v>185</v>
      </c>
      <c r="F38" s="2">
        <v>30</v>
      </c>
      <c r="G38" s="2" t="str">
        <f t="shared" si="4"/>
        <v>Obese</v>
      </c>
      <c r="H38" s="3">
        <v>129.93</v>
      </c>
      <c r="I38" s="3" t="str">
        <f t="shared" si="5"/>
        <v>High</v>
      </c>
      <c r="J38" s="2">
        <v>1</v>
      </c>
      <c r="K38" s="2">
        <v>0</v>
      </c>
      <c r="L38" s="2">
        <v>7</v>
      </c>
      <c r="M38" s="2">
        <v>0</v>
      </c>
      <c r="N38" s="2">
        <v>2</v>
      </c>
    </row>
    <row r="39" spans="1:14">
      <c r="A39" s="2">
        <v>32</v>
      </c>
      <c r="B39" s="2" t="str">
        <f t="shared" si="3"/>
        <v>Adult</v>
      </c>
      <c r="C39" s="2">
        <v>201</v>
      </c>
      <c r="D39" s="2">
        <v>137</v>
      </c>
      <c r="E39" s="2">
        <v>122</v>
      </c>
      <c r="F39" s="2">
        <v>26.1</v>
      </c>
      <c r="G39" s="2" t="str">
        <f t="shared" si="4"/>
        <v>Overweight</v>
      </c>
      <c r="H39" s="3">
        <v>137.55</v>
      </c>
      <c r="I39" s="3" t="str">
        <f t="shared" si="5"/>
        <v>High</v>
      </c>
      <c r="J39" s="2">
        <v>0</v>
      </c>
      <c r="K39" s="2">
        <v>0</v>
      </c>
      <c r="L39" s="2">
        <v>5</v>
      </c>
      <c r="M39" s="2">
        <v>1</v>
      </c>
      <c r="N39" s="2">
        <v>10</v>
      </c>
    </row>
    <row r="40" spans="1:14">
      <c r="A40" s="2">
        <v>66</v>
      </c>
      <c r="B40" s="2" t="str">
        <f t="shared" si="3"/>
        <v>Senior Citizen</v>
      </c>
      <c r="C40" s="2">
        <v>245</v>
      </c>
      <c r="D40" s="2">
        <v>101</v>
      </c>
      <c r="E40" s="2">
        <v>165</v>
      </c>
      <c r="F40" s="2">
        <v>19.7</v>
      </c>
      <c r="G40" s="2" t="str">
        <f t="shared" si="4"/>
        <v>Normal</v>
      </c>
      <c r="H40" s="3">
        <v>177.73</v>
      </c>
      <c r="I40" s="3" t="str">
        <f t="shared" si="5"/>
        <v>High</v>
      </c>
      <c r="J40" s="2">
        <v>0</v>
      </c>
      <c r="K40" s="2">
        <v>0</v>
      </c>
      <c r="L40" s="2">
        <v>7</v>
      </c>
      <c r="M40" s="2">
        <v>1</v>
      </c>
      <c r="N40" s="2">
        <v>1</v>
      </c>
    </row>
    <row r="41" spans="1:14">
      <c r="A41" s="2">
        <v>36</v>
      </c>
      <c r="B41" s="2" t="str">
        <f t="shared" si="3"/>
        <v>Adult</v>
      </c>
      <c r="C41" s="2">
        <v>281</v>
      </c>
      <c r="D41" s="2">
        <v>158</v>
      </c>
      <c r="E41" s="2">
        <v>126</v>
      </c>
      <c r="F41" s="2">
        <v>26.4</v>
      </c>
      <c r="G41" s="2" t="str">
        <f t="shared" si="4"/>
        <v>Overweight</v>
      </c>
      <c r="H41" s="3">
        <v>200.23</v>
      </c>
      <c r="I41" s="3" t="str">
        <f t="shared" si="5"/>
        <v>High</v>
      </c>
      <c r="J41" s="2">
        <v>0</v>
      </c>
      <c r="K41" s="2">
        <v>0</v>
      </c>
      <c r="L41" s="2">
        <v>8</v>
      </c>
      <c r="M41" s="2">
        <v>0</v>
      </c>
      <c r="N41" s="2">
        <v>8</v>
      </c>
    </row>
    <row r="42" spans="1:14">
      <c r="A42" s="2">
        <v>50</v>
      </c>
      <c r="B42" s="2" t="str">
        <f t="shared" si="3"/>
        <v>Adult</v>
      </c>
      <c r="C42" s="2">
        <v>292</v>
      </c>
      <c r="D42" s="2">
        <v>126</v>
      </c>
      <c r="E42" s="2">
        <v>101</v>
      </c>
      <c r="F42" s="2">
        <v>26</v>
      </c>
      <c r="G42" s="2" t="str">
        <f t="shared" si="4"/>
        <v>Overweight</v>
      </c>
      <c r="H42" s="3">
        <v>196.88</v>
      </c>
      <c r="I42" s="3" t="str">
        <f t="shared" si="5"/>
        <v>High</v>
      </c>
      <c r="J42" s="2">
        <v>0</v>
      </c>
      <c r="K42" s="2">
        <v>1</v>
      </c>
      <c r="L42" s="2">
        <v>3</v>
      </c>
      <c r="M42" s="2">
        <v>0</v>
      </c>
      <c r="N42" s="2">
        <v>1</v>
      </c>
    </row>
    <row r="43" spans="1:14">
      <c r="A43" s="2">
        <v>38</v>
      </c>
      <c r="B43" s="2" t="str">
        <f t="shared" si="3"/>
        <v>Adult</v>
      </c>
      <c r="C43" s="2">
        <v>178</v>
      </c>
      <c r="D43" s="2">
        <v>121</v>
      </c>
      <c r="E43" s="2">
        <v>189</v>
      </c>
      <c r="F43" s="2">
        <v>20.9</v>
      </c>
      <c r="G43" s="2" t="str">
        <f t="shared" si="4"/>
        <v>Normal</v>
      </c>
      <c r="H43" s="3">
        <v>109.07</v>
      </c>
      <c r="I43" s="3" t="str">
        <f t="shared" si="5"/>
        <v>High</v>
      </c>
      <c r="J43" s="2">
        <v>0</v>
      </c>
      <c r="K43" s="2">
        <v>0</v>
      </c>
      <c r="L43" s="2">
        <v>0</v>
      </c>
      <c r="M43" s="2">
        <v>1</v>
      </c>
      <c r="N43" s="2">
        <v>9</v>
      </c>
    </row>
    <row r="44" spans="1:14">
      <c r="A44" s="2">
        <v>68</v>
      </c>
      <c r="B44" s="2" t="str">
        <f t="shared" si="3"/>
        <v>Senior Citizen</v>
      </c>
      <c r="C44" s="2">
        <v>185</v>
      </c>
      <c r="D44" s="2">
        <v>98</v>
      </c>
      <c r="E44" s="2">
        <v>116</v>
      </c>
      <c r="F44" s="2">
        <v>25.4</v>
      </c>
      <c r="G44" s="2" t="str">
        <f t="shared" si="4"/>
        <v>Overweight</v>
      </c>
      <c r="H44" s="3">
        <v>90.43</v>
      </c>
      <c r="I44" s="3" t="str">
        <f t="shared" si="5"/>
        <v>Low</v>
      </c>
      <c r="J44" s="2">
        <v>1</v>
      </c>
      <c r="K44" s="2">
        <v>1</v>
      </c>
      <c r="L44" s="2">
        <v>0</v>
      </c>
      <c r="M44" s="2">
        <v>1</v>
      </c>
      <c r="N44" s="2">
        <v>6</v>
      </c>
    </row>
    <row r="45" spans="1:14">
      <c r="A45" s="2">
        <v>47</v>
      </c>
      <c r="B45" s="2" t="str">
        <f t="shared" si="3"/>
        <v>Adult</v>
      </c>
      <c r="C45" s="2">
        <v>162</v>
      </c>
      <c r="D45" s="2">
        <v>108</v>
      </c>
      <c r="E45" s="2">
        <v>132</v>
      </c>
      <c r="F45" s="2">
        <v>24.8</v>
      </c>
      <c r="G45" s="2" t="str">
        <f t="shared" si="4"/>
        <v>Normal</v>
      </c>
      <c r="H45" s="3">
        <v>91.38</v>
      </c>
      <c r="I45" s="3" t="str">
        <f t="shared" si="5"/>
        <v>Low</v>
      </c>
      <c r="J45" s="2">
        <v>1</v>
      </c>
      <c r="K45" s="2">
        <v>1</v>
      </c>
      <c r="L45" s="2">
        <v>9</v>
      </c>
      <c r="M45" s="2">
        <v>1</v>
      </c>
      <c r="N45" s="2">
        <v>7</v>
      </c>
    </row>
    <row r="46" spans="1:14">
      <c r="A46" s="2">
        <v>33</v>
      </c>
      <c r="B46" s="2" t="str">
        <f t="shared" si="3"/>
        <v>Adult</v>
      </c>
      <c r="C46" s="2">
        <v>220</v>
      </c>
      <c r="D46" s="2">
        <v>137</v>
      </c>
      <c r="E46" s="2">
        <v>108</v>
      </c>
      <c r="F46" s="2">
        <v>28.5</v>
      </c>
      <c r="G46" s="2" t="str">
        <f t="shared" si="4"/>
        <v>Overweight</v>
      </c>
      <c r="H46" s="3">
        <v>143</v>
      </c>
      <c r="I46" s="3" t="str">
        <f t="shared" si="5"/>
        <v>High</v>
      </c>
      <c r="J46" s="2">
        <v>1</v>
      </c>
      <c r="K46" s="2">
        <v>1</v>
      </c>
      <c r="L46" s="2">
        <v>3</v>
      </c>
      <c r="M46" s="2">
        <v>1</v>
      </c>
      <c r="N46" s="2">
        <v>10</v>
      </c>
    </row>
    <row r="47" spans="1:14">
      <c r="A47" s="2">
        <v>54</v>
      </c>
      <c r="B47" s="2" t="str">
        <f t="shared" si="3"/>
        <v>Adult</v>
      </c>
      <c r="C47" s="2">
        <v>235</v>
      </c>
      <c r="D47" s="2">
        <v>169</v>
      </c>
      <c r="E47" s="2">
        <v>142</v>
      </c>
      <c r="F47" s="2">
        <v>28.8</v>
      </c>
      <c r="G47" s="2" t="str">
        <f t="shared" si="4"/>
        <v>Overweight</v>
      </c>
      <c r="H47" s="3">
        <v>180.98</v>
      </c>
      <c r="I47" s="3" t="str">
        <f t="shared" si="5"/>
        <v>High</v>
      </c>
      <c r="J47" s="2">
        <v>1</v>
      </c>
      <c r="K47" s="2">
        <v>0</v>
      </c>
      <c r="L47" s="2">
        <v>6</v>
      </c>
      <c r="M47" s="2">
        <v>1</v>
      </c>
      <c r="N47" s="2">
        <v>7</v>
      </c>
    </row>
    <row r="48" spans="1:14">
      <c r="A48" s="2">
        <v>43</v>
      </c>
      <c r="B48" s="2" t="str">
        <f t="shared" si="3"/>
        <v>Adult</v>
      </c>
      <c r="C48" s="2">
        <v>177</v>
      </c>
      <c r="D48" s="2">
        <v>92</v>
      </c>
      <c r="E48" s="2">
        <v>147</v>
      </c>
      <c r="F48" s="2">
        <v>18.8</v>
      </c>
      <c r="G48" s="2" t="str">
        <f t="shared" si="4"/>
        <v>Normal</v>
      </c>
      <c r="H48" s="3">
        <v>107.59</v>
      </c>
      <c r="I48" s="3" t="str">
        <f t="shared" si="5"/>
        <v>High</v>
      </c>
      <c r="J48" s="2">
        <v>1</v>
      </c>
      <c r="K48" s="2">
        <v>0</v>
      </c>
      <c r="L48" s="2">
        <v>1</v>
      </c>
      <c r="M48" s="2">
        <v>1</v>
      </c>
      <c r="N48" s="2">
        <v>10</v>
      </c>
    </row>
    <row r="49" spans="1:14">
      <c r="A49" s="2">
        <v>79</v>
      </c>
      <c r="B49" s="2" t="str">
        <f t="shared" si="3"/>
        <v>Senior Citizen</v>
      </c>
      <c r="C49" s="2">
        <v>215</v>
      </c>
      <c r="D49" s="2">
        <v>109</v>
      </c>
      <c r="E49" s="2">
        <v>138</v>
      </c>
      <c r="F49" s="2">
        <v>24.4</v>
      </c>
      <c r="G49" s="2" t="str">
        <f t="shared" si="4"/>
        <v>Normal</v>
      </c>
      <c r="H49" s="3">
        <v>175.46</v>
      </c>
      <c r="I49" s="3" t="str">
        <f t="shared" si="5"/>
        <v>High</v>
      </c>
      <c r="J49" s="2">
        <v>0</v>
      </c>
      <c r="K49" s="2">
        <v>0</v>
      </c>
      <c r="L49" s="2">
        <v>2</v>
      </c>
      <c r="M49" s="2">
        <v>0</v>
      </c>
      <c r="N49" s="2">
        <v>3</v>
      </c>
    </row>
    <row r="50" spans="1:14">
      <c r="A50" s="2">
        <v>38</v>
      </c>
      <c r="B50" s="2" t="str">
        <f t="shared" si="3"/>
        <v>Adult</v>
      </c>
      <c r="C50" s="2">
        <v>194</v>
      </c>
      <c r="D50" s="2">
        <v>113</v>
      </c>
      <c r="E50" s="2">
        <v>192</v>
      </c>
      <c r="F50" s="2">
        <v>28.6</v>
      </c>
      <c r="G50" s="2" t="str">
        <f t="shared" si="4"/>
        <v>Overweight</v>
      </c>
      <c r="H50" s="3">
        <v>135.96</v>
      </c>
      <c r="I50" s="3" t="str">
        <f t="shared" si="5"/>
        <v>High</v>
      </c>
      <c r="J50" s="2">
        <v>1</v>
      </c>
      <c r="K50" s="2">
        <v>0</v>
      </c>
      <c r="L50" s="2">
        <v>0</v>
      </c>
      <c r="M50" s="2">
        <v>1</v>
      </c>
      <c r="N50" s="2">
        <v>2</v>
      </c>
    </row>
    <row r="51" spans="1:14">
      <c r="A51" s="2">
        <v>55</v>
      </c>
      <c r="B51" s="2" t="str">
        <f t="shared" si="3"/>
        <v>Adult</v>
      </c>
      <c r="C51" s="2">
        <v>211</v>
      </c>
      <c r="D51" s="2">
        <v>143</v>
      </c>
      <c r="E51" s="2">
        <v>141</v>
      </c>
      <c r="F51" s="2">
        <v>26.6</v>
      </c>
      <c r="G51" s="2" t="str">
        <f t="shared" si="4"/>
        <v>Overweight</v>
      </c>
      <c r="H51" s="3">
        <v>149.98</v>
      </c>
      <c r="I51" s="3" t="str">
        <f t="shared" si="5"/>
        <v>High</v>
      </c>
      <c r="J51" s="2">
        <v>1</v>
      </c>
      <c r="K51" s="2">
        <v>1</v>
      </c>
      <c r="L51" s="2">
        <v>4</v>
      </c>
      <c r="M51" s="2">
        <v>1</v>
      </c>
      <c r="N51" s="2">
        <v>9</v>
      </c>
    </row>
    <row r="52" spans="1:14">
      <c r="A52" s="2">
        <v>31</v>
      </c>
      <c r="B52" s="2" t="str">
        <f t="shared" si="3"/>
        <v>Adult</v>
      </c>
      <c r="C52" s="2">
        <v>283</v>
      </c>
      <c r="D52" s="2">
        <v>122</v>
      </c>
      <c r="E52" s="2">
        <v>125</v>
      </c>
      <c r="F52" s="2">
        <v>32.6</v>
      </c>
      <c r="G52" s="2" t="str">
        <f t="shared" si="4"/>
        <v>Obese</v>
      </c>
      <c r="H52" s="3">
        <v>245.17</v>
      </c>
      <c r="I52" s="3" t="str">
        <f t="shared" si="5"/>
        <v>High</v>
      </c>
      <c r="J52" s="2">
        <v>0</v>
      </c>
      <c r="K52" s="2">
        <v>0</v>
      </c>
      <c r="L52" s="2">
        <v>0</v>
      </c>
      <c r="M52" s="2">
        <v>0</v>
      </c>
      <c r="N52" s="2">
        <v>8</v>
      </c>
    </row>
    <row r="53" spans="1:14">
      <c r="A53" s="2">
        <v>49</v>
      </c>
      <c r="B53" s="2" t="str">
        <f t="shared" si="3"/>
        <v>Adult</v>
      </c>
      <c r="C53" s="2">
        <v>177</v>
      </c>
      <c r="D53" s="2">
        <v>113</v>
      </c>
      <c r="E53" s="2">
        <v>198</v>
      </c>
      <c r="F53" s="2">
        <v>29.2</v>
      </c>
      <c r="G53" s="2" t="str">
        <f t="shared" si="4"/>
        <v>Overweight</v>
      </c>
      <c r="H53" s="3">
        <v>130.14</v>
      </c>
      <c r="I53" s="3" t="str">
        <f t="shared" si="5"/>
        <v>High</v>
      </c>
      <c r="J53" s="2">
        <v>1</v>
      </c>
      <c r="K53" s="2">
        <v>0</v>
      </c>
      <c r="L53" s="2">
        <v>7</v>
      </c>
      <c r="M53" s="2">
        <v>0</v>
      </c>
      <c r="N53" s="2">
        <v>10</v>
      </c>
    </row>
    <row r="54" spans="1:14">
      <c r="A54" s="2">
        <v>57</v>
      </c>
      <c r="B54" s="2" t="str">
        <f t="shared" si="3"/>
        <v>Adult</v>
      </c>
      <c r="C54" s="2">
        <v>177</v>
      </c>
      <c r="D54" s="2">
        <v>164</v>
      </c>
      <c r="E54" s="2">
        <v>149</v>
      </c>
      <c r="F54" s="2">
        <v>20.8</v>
      </c>
      <c r="G54" s="2" t="str">
        <f t="shared" si="4"/>
        <v>Normal</v>
      </c>
      <c r="H54" s="3">
        <v>117.34</v>
      </c>
      <c r="I54" s="3" t="str">
        <f t="shared" si="5"/>
        <v>High</v>
      </c>
      <c r="J54" s="2">
        <v>0</v>
      </c>
      <c r="K54" s="2">
        <v>0</v>
      </c>
      <c r="L54" s="2">
        <v>0</v>
      </c>
      <c r="M54" s="2">
        <v>0</v>
      </c>
      <c r="N54" s="2">
        <v>7</v>
      </c>
    </row>
    <row r="55" spans="1:14">
      <c r="A55" s="2">
        <v>76</v>
      </c>
      <c r="B55" s="2" t="str">
        <f t="shared" si="3"/>
        <v>Senior Citizen</v>
      </c>
      <c r="C55" s="2">
        <v>257</v>
      </c>
      <c r="D55" s="2">
        <v>161</v>
      </c>
      <c r="E55" s="2">
        <v>124</v>
      </c>
      <c r="F55" s="2">
        <v>19.2</v>
      </c>
      <c r="G55" s="2" t="str">
        <f t="shared" si="4"/>
        <v>Normal</v>
      </c>
      <c r="H55" s="3">
        <v>225.65</v>
      </c>
      <c r="I55" s="3" t="str">
        <f t="shared" si="5"/>
        <v>High</v>
      </c>
      <c r="J55" s="2">
        <v>1</v>
      </c>
      <c r="K55" s="2">
        <v>0</v>
      </c>
      <c r="L55" s="2">
        <v>0</v>
      </c>
      <c r="M55" s="2">
        <v>0</v>
      </c>
      <c r="N55" s="2">
        <v>9</v>
      </c>
    </row>
    <row r="56" spans="1:14">
      <c r="A56" s="2">
        <v>36</v>
      </c>
      <c r="B56" s="2" t="str">
        <f t="shared" si="3"/>
        <v>Adult</v>
      </c>
      <c r="C56" s="2">
        <v>193</v>
      </c>
      <c r="D56" s="2">
        <v>125</v>
      </c>
      <c r="E56" s="2">
        <v>123</v>
      </c>
      <c r="F56" s="2">
        <v>28.9</v>
      </c>
      <c r="G56" s="2" t="str">
        <f t="shared" si="4"/>
        <v>Overweight</v>
      </c>
      <c r="H56" s="3">
        <v>174.01</v>
      </c>
      <c r="I56" s="3" t="str">
        <f t="shared" si="5"/>
        <v>High</v>
      </c>
      <c r="J56" s="2">
        <v>0</v>
      </c>
      <c r="K56" s="2">
        <v>0</v>
      </c>
      <c r="L56" s="2">
        <v>1</v>
      </c>
      <c r="M56" s="2">
        <v>1</v>
      </c>
      <c r="N56" s="2">
        <v>4</v>
      </c>
    </row>
    <row r="57" spans="1:14">
      <c r="A57" s="2">
        <v>73</v>
      </c>
      <c r="B57" s="2" t="str">
        <f t="shared" si="3"/>
        <v>Senior Citizen</v>
      </c>
      <c r="C57" s="2">
        <v>233</v>
      </c>
      <c r="D57" s="2">
        <v>127</v>
      </c>
      <c r="E57" s="2">
        <v>112</v>
      </c>
      <c r="F57" s="2">
        <v>18.5</v>
      </c>
      <c r="G57" s="2" t="str">
        <f t="shared" si="4"/>
        <v>Normal</v>
      </c>
      <c r="H57" s="3">
        <v>206.68</v>
      </c>
      <c r="I57" s="3" t="str">
        <f t="shared" si="5"/>
        <v>High</v>
      </c>
      <c r="J57" s="2">
        <v>1</v>
      </c>
      <c r="K57" s="2">
        <v>1</v>
      </c>
      <c r="L57" s="2">
        <v>1</v>
      </c>
      <c r="M57" s="2">
        <v>1</v>
      </c>
      <c r="N57" s="2">
        <v>4</v>
      </c>
    </row>
    <row r="58" spans="1:14">
      <c r="A58" s="2">
        <v>37</v>
      </c>
      <c r="B58" s="2" t="str">
        <f t="shared" si="3"/>
        <v>Adult</v>
      </c>
      <c r="C58" s="2">
        <v>179</v>
      </c>
      <c r="D58" s="2">
        <v>173</v>
      </c>
      <c r="E58" s="2">
        <v>159</v>
      </c>
      <c r="F58" s="2">
        <v>28</v>
      </c>
      <c r="G58" s="2" t="str">
        <f t="shared" si="4"/>
        <v>Overweight</v>
      </c>
      <c r="H58" s="3">
        <v>132.82</v>
      </c>
      <c r="I58" s="3" t="str">
        <f t="shared" si="5"/>
        <v>High</v>
      </c>
      <c r="J58" s="2">
        <v>1</v>
      </c>
      <c r="K58" s="2">
        <v>0</v>
      </c>
      <c r="L58" s="2">
        <v>5</v>
      </c>
      <c r="M58" s="2">
        <v>1</v>
      </c>
      <c r="N58" s="2">
        <v>1</v>
      </c>
    </row>
    <row r="59" spans="1:14">
      <c r="A59" s="2">
        <v>76</v>
      </c>
      <c r="B59" s="2" t="str">
        <f t="shared" si="3"/>
        <v>Senior Citizen</v>
      </c>
      <c r="C59" s="2">
        <v>224</v>
      </c>
      <c r="D59" s="2">
        <v>178</v>
      </c>
      <c r="E59" s="2">
        <v>106</v>
      </c>
      <c r="F59" s="2">
        <v>34</v>
      </c>
      <c r="G59" s="2" t="str">
        <f t="shared" si="4"/>
        <v>Obese</v>
      </c>
      <c r="H59" s="3">
        <v>215.99</v>
      </c>
      <c r="I59" s="3" t="str">
        <f t="shared" si="5"/>
        <v>High</v>
      </c>
      <c r="J59" s="2">
        <v>0</v>
      </c>
      <c r="K59" s="2">
        <v>1</v>
      </c>
      <c r="L59" s="2">
        <v>6</v>
      </c>
      <c r="M59" s="2">
        <v>1</v>
      </c>
      <c r="N59" s="2">
        <v>8</v>
      </c>
    </row>
    <row r="60" spans="1:14">
      <c r="A60" s="2">
        <v>64</v>
      </c>
      <c r="B60" s="2" t="str">
        <f t="shared" si="3"/>
        <v>Senior Citizen</v>
      </c>
      <c r="C60" s="2">
        <v>277</v>
      </c>
      <c r="D60" s="2">
        <v>114</v>
      </c>
      <c r="E60" s="2">
        <v>156</v>
      </c>
      <c r="F60" s="2">
        <v>27.8</v>
      </c>
      <c r="G60" s="2" t="str">
        <f t="shared" si="4"/>
        <v>Overweight</v>
      </c>
      <c r="H60" s="3">
        <v>125.41</v>
      </c>
      <c r="I60" s="3" t="str">
        <f t="shared" si="5"/>
        <v>High</v>
      </c>
      <c r="J60" s="2">
        <v>0</v>
      </c>
      <c r="K60" s="2">
        <v>0</v>
      </c>
      <c r="L60" s="2">
        <v>4</v>
      </c>
      <c r="M60" s="2">
        <v>1</v>
      </c>
      <c r="N60" s="2">
        <v>3</v>
      </c>
    </row>
    <row r="61" spans="1:14">
      <c r="A61" s="2">
        <v>43</v>
      </c>
      <c r="B61" s="2" t="str">
        <f t="shared" si="3"/>
        <v>Adult</v>
      </c>
      <c r="C61" s="2">
        <v>241</v>
      </c>
      <c r="D61" s="2">
        <v>107</v>
      </c>
      <c r="E61" s="2">
        <v>135</v>
      </c>
      <c r="F61" s="2">
        <v>24.6</v>
      </c>
      <c r="G61" s="2" t="str">
        <f t="shared" si="4"/>
        <v>Normal</v>
      </c>
      <c r="H61" s="3">
        <v>169.47</v>
      </c>
      <c r="I61" s="3" t="str">
        <f t="shared" si="5"/>
        <v>High</v>
      </c>
      <c r="J61" s="2">
        <v>0</v>
      </c>
      <c r="K61" s="2">
        <v>1</v>
      </c>
      <c r="L61" s="2">
        <v>0</v>
      </c>
      <c r="M61" s="2">
        <v>1</v>
      </c>
      <c r="N61" s="2">
        <v>7</v>
      </c>
    </row>
    <row r="62" spans="1:14">
      <c r="A62" s="2">
        <v>46</v>
      </c>
      <c r="B62" s="2" t="str">
        <f t="shared" si="3"/>
        <v>Adult</v>
      </c>
      <c r="C62" s="2">
        <v>278</v>
      </c>
      <c r="D62" s="2">
        <v>171</v>
      </c>
      <c r="E62" s="2">
        <v>144</v>
      </c>
      <c r="F62" s="2">
        <v>28.9</v>
      </c>
      <c r="G62" s="2" t="str">
        <f t="shared" si="4"/>
        <v>Overweight</v>
      </c>
      <c r="H62" s="3">
        <v>177.57</v>
      </c>
      <c r="I62" s="3" t="str">
        <f t="shared" si="5"/>
        <v>High</v>
      </c>
      <c r="J62" s="2">
        <v>0</v>
      </c>
      <c r="K62" s="2">
        <v>0</v>
      </c>
      <c r="L62" s="2">
        <v>0</v>
      </c>
      <c r="M62" s="2">
        <v>0</v>
      </c>
      <c r="N62" s="2">
        <v>2</v>
      </c>
    </row>
    <row r="63" spans="1:14">
      <c r="A63" s="2">
        <v>65</v>
      </c>
      <c r="B63" s="2" t="str">
        <f t="shared" si="3"/>
        <v>Senior Citizen</v>
      </c>
      <c r="C63" s="2">
        <v>270</v>
      </c>
      <c r="D63" s="2">
        <v>155</v>
      </c>
      <c r="E63" s="2">
        <v>119</v>
      </c>
      <c r="F63" s="2">
        <v>25.8</v>
      </c>
      <c r="G63" s="2" t="str">
        <f t="shared" si="4"/>
        <v>Overweight</v>
      </c>
      <c r="H63" s="3">
        <v>140.5</v>
      </c>
      <c r="I63" s="3" t="str">
        <f t="shared" si="5"/>
        <v>High</v>
      </c>
      <c r="J63" s="2">
        <v>0</v>
      </c>
      <c r="K63" s="2">
        <v>0</v>
      </c>
      <c r="L63" s="2">
        <v>2</v>
      </c>
      <c r="M63" s="2">
        <v>1</v>
      </c>
      <c r="N63" s="2">
        <v>2</v>
      </c>
    </row>
    <row r="64" spans="1:14">
      <c r="A64" s="2">
        <v>79</v>
      </c>
      <c r="B64" s="2" t="str">
        <f t="shared" si="3"/>
        <v>Senior Citizen</v>
      </c>
      <c r="C64" s="2">
        <v>176</v>
      </c>
      <c r="D64" s="2">
        <v>143</v>
      </c>
      <c r="E64" s="2">
        <v>164</v>
      </c>
      <c r="F64" s="2">
        <v>27.3</v>
      </c>
      <c r="G64" s="2" t="str">
        <f t="shared" si="4"/>
        <v>Overweight</v>
      </c>
      <c r="H64" s="3">
        <v>168.98</v>
      </c>
      <c r="I64" s="3" t="str">
        <f t="shared" si="5"/>
        <v>High</v>
      </c>
      <c r="J64" s="2">
        <v>0</v>
      </c>
      <c r="K64" s="2">
        <v>1</v>
      </c>
      <c r="L64" s="2">
        <v>1</v>
      </c>
      <c r="M64" s="2">
        <v>0</v>
      </c>
      <c r="N64" s="2">
        <v>7</v>
      </c>
    </row>
    <row r="65" spans="1:14">
      <c r="A65" s="2">
        <v>69</v>
      </c>
      <c r="B65" s="2" t="str">
        <f t="shared" si="3"/>
        <v>Senior Citizen</v>
      </c>
      <c r="C65" s="2">
        <v>270</v>
      </c>
      <c r="D65" s="2">
        <v>124</v>
      </c>
      <c r="E65" s="2">
        <v>107</v>
      </c>
      <c r="F65" s="2">
        <v>34</v>
      </c>
      <c r="G65" s="2" t="str">
        <f t="shared" si="4"/>
        <v>Obese</v>
      </c>
      <c r="H65" s="3">
        <v>135</v>
      </c>
      <c r="I65" s="3" t="str">
        <f t="shared" si="5"/>
        <v>High</v>
      </c>
      <c r="J65" s="2">
        <v>0</v>
      </c>
      <c r="K65" s="2">
        <v>1</v>
      </c>
      <c r="L65" s="2">
        <v>4</v>
      </c>
      <c r="M65" s="2">
        <v>0</v>
      </c>
      <c r="N65" s="2">
        <v>6</v>
      </c>
    </row>
    <row r="66" spans="1:14">
      <c r="A66" s="2">
        <v>33</v>
      </c>
      <c r="B66" s="2" t="str">
        <f t="shared" ref="B66:B97" si="6">IF(A66&lt;18,"Child",IF(A66&lt;30,"Young Adult",IF(A66&lt;60,"Adult","Senior Citizen")))</f>
        <v>Adult</v>
      </c>
      <c r="C66" s="2">
        <v>265</v>
      </c>
      <c r="D66" s="2">
        <v>169</v>
      </c>
      <c r="E66" s="2">
        <v>115</v>
      </c>
      <c r="F66" s="2">
        <v>24.6</v>
      </c>
      <c r="G66" s="2" t="str">
        <f t="shared" ref="G66:G97" si="7">IF(F66&lt;18.5,"Underweight",IF(F66&lt;25,"Normal",IF(F66&lt;30,"Overweight","Obese")))</f>
        <v>Normal</v>
      </c>
      <c r="H66" s="3">
        <v>114.67</v>
      </c>
      <c r="I66" s="3" t="str">
        <f t="shared" ref="I66:I97" si="8">IF(H66&lt;100,"Low",IF(H66&lt;=65,"Medium","High"))</f>
        <v>High</v>
      </c>
      <c r="J66" s="2">
        <v>0</v>
      </c>
      <c r="K66" s="2">
        <v>1</v>
      </c>
      <c r="L66" s="2">
        <v>9</v>
      </c>
      <c r="M66" s="2">
        <v>1</v>
      </c>
      <c r="N66" s="2">
        <v>3</v>
      </c>
    </row>
    <row r="67" spans="1:14">
      <c r="A67" s="2">
        <v>31</v>
      </c>
      <c r="B67" s="2" t="str">
        <f t="shared" si="6"/>
        <v>Adult</v>
      </c>
      <c r="C67" s="2">
        <v>152</v>
      </c>
      <c r="D67" s="2">
        <v>150</v>
      </c>
      <c r="E67" s="2">
        <v>113</v>
      </c>
      <c r="F67" s="2">
        <v>34.3</v>
      </c>
      <c r="G67" s="2" t="str">
        <f t="shared" si="7"/>
        <v>Obese</v>
      </c>
      <c r="H67" s="3">
        <v>147.32</v>
      </c>
      <c r="I67" s="3" t="str">
        <f t="shared" si="8"/>
        <v>High</v>
      </c>
      <c r="J67" s="2">
        <v>1</v>
      </c>
      <c r="K67" s="2">
        <v>0</v>
      </c>
      <c r="L67" s="2">
        <v>5</v>
      </c>
      <c r="M67" s="2">
        <v>0</v>
      </c>
      <c r="N67" s="2">
        <v>9</v>
      </c>
    </row>
    <row r="68" spans="1:14">
      <c r="A68" s="2">
        <v>35</v>
      </c>
      <c r="B68" s="2" t="str">
        <f t="shared" si="6"/>
        <v>Adult</v>
      </c>
      <c r="C68" s="2">
        <v>252</v>
      </c>
      <c r="D68" s="2">
        <v>130</v>
      </c>
      <c r="E68" s="2">
        <v>175</v>
      </c>
      <c r="F68" s="2">
        <v>33.4</v>
      </c>
      <c r="G68" s="2" t="str">
        <f t="shared" si="7"/>
        <v>Obese</v>
      </c>
      <c r="H68" s="3">
        <v>176.04</v>
      </c>
      <c r="I68" s="3" t="str">
        <f t="shared" si="8"/>
        <v>High</v>
      </c>
      <c r="J68" s="2">
        <v>1</v>
      </c>
      <c r="K68" s="2">
        <v>1</v>
      </c>
      <c r="L68" s="2">
        <v>6</v>
      </c>
      <c r="M68" s="2">
        <v>1</v>
      </c>
      <c r="N68" s="2">
        <v>10</v>
      </c>
    </row>
    <row r="69" spans="1:14">
      <c r="A69" s="2">
        <v>71</v>
      </c>
      <c r="B69" s="2" t="str">
        <f t="shared" si="6"/>
        <v>Senior Citizen</v>
      </c>
      <c r="C69" s="2">
        <v>286</v>
      </c>
      <c r="D69" s="2">
        <v>122</v>
      </c>
      <c r="E69" s="2">
        <v>186</v>
      </c>
      <c r="F69" s="2">
        <v>21.3</v>
      </c>
      <c r="G69" s="2" t="str">
        <f t="shared" si="7"/>
        <v>Normal</v>
      </c>
      <c r="H69" s="3">
        <v>190.07</v>
      </c>
      <c r="I69" s="3" t="str">
        <f t="shared" si="8"/>
        <v>High</v>
      </c>
      <c r="J69" s="2">
        <v>0</v>
      </c>
      <c r="K69" s="2">
        <v>0</v>
      </c>
      <c r="L69" s="2">
        <v>3</v>
      </c>
      <c r="M69" s="2">
        <v>0</v>
      </c>
      <c r="N69" s="2">
        <v>6</v>
      </c>
    </row>
    <row r="70" spans="1:14">
      <c r="A70" s="2">
        <v>33</v>
      </c>
      <c r="B70" s="2" t="str">
        <f t="shared" si="6"/>
        <v>Adult</v>
      </c>
      <c r="C70" s="2">
        <v>211</v>
      </c>
      <c r="D70" s="2">
        <v>157</v>
      </c>
      <c r="E70" s="2">
        <v>114</v>
      </c>
      <c r="F70" s="2">
        <v>19.2</v>
      </c>
      <c r="G70" s="2" t="str">
        <f t="shared" si="7"/>
        <v>Normal</v>
      </c>
      <c r="H70" s="3">
        <v>161.81</v>
      </c>
      <c r="I70" s="3" t="str">
        <f t="shared" si="8"/>
        <v>High</v>
      </c>
      <c r="J70" s="2">
        <v>1</v>
      </c>
      <c r="K70" s="2">
        <v>0</v>
      </c>
      <c r="L70" s="2">
        <v>6</v>
      </c>
      <c r="M70" s="2">
        <v>1</v>
      </c>
      <c r="N70" s="2">
        <v>10</v>
      </c>
    </row>
    <row r="71" spans="1:14">
      <c r="A71" s="2">
        <v>58</v>
      </c>
      <c r="B71" s="2" t="str">
        <f t="shared" si="6"/>
        <v>Adult</v>
      </c>
      <c r="C71" s="2">
        <v>200</v>
      </c>
      <c r="D71" s="2">
        <v>122</v>
      </c>
      <c r="E71" s="2">
        <v>191</v>
      </c>
      <c r="F71" s="2">
        <v>19.7</v>
      </c>
      <c r="G71" s="2" t="str">
        <f t="shared" si="7"/>
        <v>Normal</v>
      </c>
      <c r="H71" s="3">
        <v>163.55</v>
      </c>
      <c r="I71" s="3" t="str">
        <f t="shared" si="8"/>
        <v>High</v>
      </c>
      <c r="J71" s="2">
        <v>1</v>
      </c>
      <c r="K71" s="2">
        <v>1</v>
      </c>
      <c r="L71" s="2">
        <v>7</v>
      </c>
      <c r="M71" s="2">
        <v>0</v>
      </c>
      <c r="N71" s="2">
        <v>10</v>
      </c>
    </row>
    <row r="72" spans="1:14">
      <c r="A72" s="2">
        <v>47</v>
      </c>
      <c r="B72" s="2" t="str">
        <f t="shared" si="6"/>
        <v>Adult</v>
      </c>
      <c r="C72" s="2">
        <v>208</v>
      </c>
      <c r="D72" s="2">
        <v>103</v>
      </c>
      <c r="E72" s="2">
        <v>197</v>
      </c>
      <c r="F72" s="2">
        <v>18.3</v>
      </c>
      <c r="G72" s="2" t="str">
        <f t="shared" si="7"/>
        <v>Underweight</v>
      </c>
      <c r="H72" s="3">
        <v>132.11</v>
      </c>
      <c r="I72" s="3" t="str">
        <f t="shared" si="8"/>
        <v>High</v>
      </c>
      <c r="J72" s="2">
        <v>1</v>
      </c>
      <c r="K72" s="2">
        <v>1</v>
      </c>
      <c r="L72" s="2">
        <v>0</v>
      </c>
      <c r="M72" s="2">
        <v>1</v>
      </c>
      <c r="N72" s="2">
        <v>6</v>
      </c>
    </row>
    <row r="73" spans="1:14">
      <c r="A73" s="2">
        <v>55</v>
      </c>
      <c r="B73" s="2" t="str">
        <f t="shared" si="6"/>
        <v>Adult</v>
      </c>
      <c r="C73" s="2">
        <v>267</v>
      </c>
      <c r="D73" s="2">
        <v>110</v>
      </c>
      <c r="E73" s="2">
        <v>165</v>
      </c>
      <c r="F73" s="2">
        <v>19.6</v>
      </c>
      <c r="G73" s="2" t="str">
        <f t="shared" si="7"/>
        <v>Normal</v>
      </c>
      <c r="H73" s="3">
        <v>143.23</v>
      </c>
      <c r="I73" s="3" t="str">
        <f t="shared" si="8"/>
        <v>High</v>
      </c>
      <c r="J73" s="2">
        <v>1</v>
      </c>
      <c r="K73" s="2">
        <v>0</v>
      </c>
      <c r="L73" s="2">
        <v>5</v>
      </c>
      <c r="M73" s="2">
        <v>1</v>
      </c>
      <c r="N73" s="2">
        <v>1</v>
      </c>
    </row>
    <row r="74" spans="1:14">
      <c r="A74" s="2">
        <v>73</v>
      </c>
      <c r="B74" s="2" t="str">
        <f t="shared" si="6"/>
        <v>Senior Citizen</v>
      </c>
      <c r="C74" s="2">
        <v>245</v>
      </c>
      <c r="D74" s="2">
        <v>137</v>
      </c>
      <c r="E74" s="2">
        <v>131</v>
      </c>
      <c r="F74" s="2">
        <v>29.6</v>
      </c>
      <c r="G74" s="2" t="str">
        <f t="shared" si="7"/>
        <v>Overweight</v>
      </c>
      <c r="H74" s="3">
        <v>170.14</v>
      </c>
      <c r="I74" s="3" t="str">
        <f t="shared" si="8"/>
        <v>High</v>
      </c>
      <c r="J74" s="2">
        <v>0</v>
      </c>
      <c r="K74" s="2">
        <v>0</v>
      </c>
      <c r="L74" s="2">
        <v>7</v>
      </c>
      <c r="M74" s="2">
        <v>1</v>
      </c>
      <c r="N74" s="2">
        <v>4</v>
      </c>
    </row>
    <row r="75" spans="1:14">
      <c r="A75" s="2">
        <v>63</v>
      </c>
      <c r="B75" s="2" t="str">
        <f t="shared" si="6"/>
        <v>Senior Citizen</v>
      </c>
      <c r="C75" s="2">
        <v>262</v>
      </c>
      <c r="D75" s="2">
        <v>109</v>
      </c>
      <c r="E75" s="2">
        <v>186</v>
      </c>
      <c r="F75" s="2">
        <v>19.2</v>
      </c>
      <c r="G75" s="2" t="str">
        <f t="shared" si="7"/>
        <v>Normal</v>
      </c>
      <c r="H75" s="3">
        <v>134.08</v>
      </c>
      <c r="I75" s="3" t="str">
        <f t="shared" si="8"/>
        <v>High</v>
      </c>
      <c r="J75" s="2">
        <v>1</v>
      </c>
      <c r="K75" s="2">
        <v>1</v>
      </c>
      <c r="L75" s="2">
        <v>4</v>
      </c>
      <c r="M75" s="2">
        <v>1</v>
      </c>
      <c r="N75" s="2">
        <v>10</v>
      </c>
    </row>
    <row r="76" spans="1:14">
      <c r="A76" s="2">
        <v>39</v>
      </c>
      <c r="B76" s="2" t="str">
        <f t="shared" si="6"/>
        <v>Adult</v>
      </c>
      <c r="C76" s="2">
        <v>211</v>
      </c>
      <c r="D76" s="2">
        <v>97</v>
      </c>
      <c r="E76" s="2">
        <v>162</v>
      </c>
      <c r="F76" s="2">
        <v>23.4</v>
      </c>
      <c r="G76" s="2" t="str">
        <f t="shared" si="7"/>
        <v>Normal</v>
      </c>
      <c r="H76" s="3">
        <v>131.91</v>
      </c>
      <c r="I76" s="3" t="str">
        <f t="shared" si="8"/>
        <v>High</v>
      </c>
      <c r="J76" s="2">
        <v>0</v>
      </c>
      <c r="K76" s="2">
        <v>1</v>
      </c>
      <c r="L76" s="2">
        <v>3</v>
      </c>
      <c r="M76" s="2">
        <v>1</v>
      </c>
      <c r="N76" s="2">
        <v>6</v>
      </c>
    </row>
    <row r="77" spans="1:14">
      <c r="A77" s="2">
        <v>65</v>
      </c>
      <c r="B77" s="2" t="str">
        <f t="shared" si="6"/>
        <v>Senior Citizen</v>
      </c>
      <c r="C77" s="2">
        <v>201</v>
      </c>
      <c r="D77" s="2">
        <v>96</v>
      </c>
      <c r="E77" s="2">
        <v>185</v>
      </c>
      <c r="F77" s="2">
        <v>32.4</v>
      </c>
      <c r="G77" s="2" t="str">
        <f t="shared" si="7"/>
        <v>Obese</v>
      </c>
      <c r="H77" s="3">
        <v>102.58</v>
      </c>
      <c r="I77" s="3" t="str">
        <f t="shared" si="8"/>
        <v>High</v>
      </c>
      <c r="J77" s="2">
        <v>1</v>
      </c>
      <c r="K77" s="2">
        <v>1</v>
      </c>
      <c r="L77" s="2">
        <v>1</v>
      </c>
      <c r="M77" s="2">
        <v>0</v>
      </c>
      <c r="N77" s="2">
        <v>6</v>
      </c>
    </row>
    <row r="78" spans="1:14">
      <c r="A78" s="2">
        <v>43</v>
      </c>
      <c r="B78" s="2" t="str">
        <f t="shared" si="6"/>
        <v>Adult</v>
      </c>
      <c r="C78" s="2">
        <v>161</v>
      </c>
      <c r="D78" s="2">
        <v>156</v>
      </c>
      <c r="E78" s="2">
        <v>150</v>
      </c>
      <c r="F78" s="2">
        <v>18.4</v>
      </c>
      <c r="G78" s="2" t="str">
        <f t="shared" si="7"/>
        <v>Underweight</v>
      </c>
      <c r="H78" s="3">
        <v>124.13</v>
      </c>
      <c r="I78" s="3" t="str">
        <f t="shared" si="8"/>
        <v>High</v>
      </c>
      <c r="J78" s="2">
        <v>1</v>
      </c>
      <c r="K78" s="2">
        <v>0</v>
      </c>
      <c r="L78" s="2">
        <v>5</v>
      </c>
      <c r="M78" s="2">
        <v>0</v>
      </c>
      <c r="N78" s="2">
        <v>5</v>
      </c>
    </row>
    <row r="79" spans="1:14">
      <c r="A79" s="2">
        <v>60</v>
      </c>
      <c r="B79" s="2" t="str">
        <f t="shared" si="6"/>
        <v>Senior Citizen</v>
      </c>
      <c r="C79" s="2">
        <v>188</v>
      </c>
      <c r="D79" s="2">
        <v>106</v>
      </c>
      <c r="E79" s="2">
        <v>124</v>
      </c>
      <c r="F79" s="2">
        <v>31.8</v>
      </c>
      <c r="G79" s="2" t="str">
        <f t="shared" si="7"/>
        <v>Obese</v>
      </c>
      <c r="H79" s="3">
        <v>140.01</v>
      </c>
      <c r="I79" s="3" t="str">
        <f t="shared" si="8"/>
        <v>High</v>
      </c>
      <c r="J79" s="2">
        <v>1</v>
      </c>
      <c r="K79" s="2">
        <v>0</v>
      </c>
      <c r="L79" s="2">
        <v>5</v>
      </c>
      <c r="M79" s="2">
        <v>0</v>
      </c>
      <c r="N79" s="2">
        <v>1</v>
      </c>
    </row>
    <row r="80" spans="1:14">
      <c r="A80" s="2">
        <v>77</v>
      </c>
      <c r="B80" s="2" t="str">
        <f t="shared" si="6"/>
        <v>Senior Citizen</v>
      </c>
      <c r="C80" s="2">
        <v>279</v>
      </c>
      <c r="D80" s="2">
        <v>122</v>
      </c>
      <c r="E80" s="2">
        <v>157</v>
      </c>
      <c r="F80" s="2">
        <v>22.8</v>
      </c>
      <c r="G80" s="2" t="str">
        <f t="shared" si="7"/>
        <v>Normal</v>
      </c>
      <c r="H80" s="3">
        <v>176.27</v>
      </c>
      <c r="I80" s="3" t="str">
        <f t="shared" si="8"/>
        <v>High</v>
      </c>
      <c r="J80" s="2">
        <v>0</v>
      </c>
      <c r="K80" s="2">
        <v>0</v>
      </c>
      <c r="L80" s="2">
        <v>0</v>
      </c>
      <c r="M80" s="2">
        <v>1</v>
      </c>
      <c r="N80" s="2">
        <v>8</v>
      </c>
    </row>
    <row r="81" spans="1:14">
      <c r="A81" s="2">
        <v>44</v>
      </c>
      <c r="B81" s="2" t="str">
        <f t="shared" si="6"/>
        <v>Adult</v>
      </c>
      <c r="C81" s="2">
        <v>280</v>
      </c>
      <c r="D81" s="2">
        <v>137</v>
      </c>
      <c r="E81" s="2">
        <v>162</v>
      </c>
      <c r="F81" s="2">
        <v>20</v>
      </c>
      <c r="G81" s="2" t="str">
        <f t="shared" si="7"/>
        <v>Normal</v>
      </c>
      <c r="H81" s="3">
        <v>165.41</v>
      </c>
      <c r="I81" s="3" t="str">
        <f t="shared" si="8"/>
        <v>High</v>
      </c>
      <c r="J81" s="2">
        <v>1</v>
      </c>
      <c r="K81" s="2">
        <v>0</v>
      </c>
      <c r="L81" s="2">
        <v>8</v>
      </c>
      <c r="M81" s="2">
        <v>0</v>
      </c>
      <c r="N81" s="2">
        <v>5</v>
      </c>
    </row>
    <row r="82" spans="1:14">
      <c r="A82" s="2">
        <v>37</v>
      </c>
      <c r="B82" s="2" t="str">
        <f t="shared" si="6"/>
        <v>Adult</v>
      </c>
      <c r="C82" s="2">
        <v>262</v>
      </c>
      <c r="D82" s="2">
        <v>165</v>
      </c>
      <c r="E82" s="2">
        <v>161</v>
      </c>
      <c r="F82" s="2">
        <v>29.8</v>
      </c>
      <c r="G82" s="2" t="str">
        <f t="shared" si="7"/>
        <v>Overweight</v>
      </c>
      <c r="H82" s="3">
        <v>96.08</v>
      </c>
      <c r="I82" s="3" t="str">
        <f t="shared" si="8"/>
        <v>Low</v>
      </c>
      <c r="J82" s="2">
        <v>0</v>
      </c>
      <c r="K82" s="2">
        <v>0</v>
      </c>
      <c r="L82" s="2">
        <v>5</v>
      </c>
      <c r="M82" s="2">
        <v>1</v>
      </c>
      <c r="N82" s="2">
        <v>5</v>
      </c>
    </row>
    <row r="83" spans="1:14">
      <c r="A83" s="2">
        <v>43</v>
      </c>
      <c r="B83" s="2" t="str">
        <f t="shared" si="6"/>
        <v>Adult</v>
      </c>
      <c r="C83" s="2">
        <v>250</v>
      </c>
      <c r="D83" s="2">
        <v>148</v>
      </c>
      <c r="E83" s="2">
        <v>121</v>
      </c>
      <c r="F83" s="2">
        <v>28.7</v>
      </c>
      <c r="G83" s="2" t="str">
        <f t="shared" si="7"/>
        <v>Overweight</v>
      </c>
      <c r="H83" s="3">
        <v>141.71</v>
      </c>
      <c r="I83" s="3" t="str">
        <f t="shared" si="8"/>
        <v>High</v>
      </c>
      <c r="J83" s="2">
        <v>1</v>
      </c>
      <c r="K83" s="2">
        <v>0</v>
      </c>
      <c r="L83" s="2">
        <v>2</v>
      </c>
      <c r="M83" s="2">
        <v>1</v>
      </c>
      <c r="N83" s="2">
        <v>7</v>
      </c>
    </row>
    <row r="84" spans="1:14">
      <c r="A84" s="2">
        <v>52</v>
      </c>
      <c r="B84" s="2" t="str">
        <f t="shared" si="6"/>
        <v>Adult</v>
      </c>
      <c r="C84" s="2">
        <v>262</v>
      </c>
      <c r="D84" s="2">
        <v>175</v>
      </c>
      <c r="E84" s="2">
        <v>157</v>
      </c>
      <c r="F84" s="2">
        <v>32.9</v>
      </c>
      <c r="G84" s="2" t="str">
        <f t="shared" si="7"/>
        <v>Obese</v>
      </c>
      <c r="H84" s="3">
        <v>178.84</v>
      </c>
      <c r="I84" s="3" t="str">
        <f t="shared" si="8"/>
        <v>High</v>
      </c>
      <c r="J84" s="2">
        <v>0</v>
      </c>
      <c r="K84" s="2">
        <v>1</v>
      </c>
      <c r="L84" s="2">
        <v>3</v>
      </c>
      <c r="M84" s="2">
        <v>0</v>
      </c>
      <c r="N84" s="2">
        <v>4</v>
      </c>
    </row>
    <row r="85" spans="1:14">
      <c r="A85" s="2">
        <v>69</v>
      </c>
      <c r="B85" s="2" t="str">
        <f t="shared" si="6"/>
        <v>Senior Citizen</v>
      </c>
      <c r="C85" s="2">
        <v>230</v>
      </c>
      <c r="D85" s="2">
        <v>111</v>
      </c>
      <c r="E85" s="2">
        <v>157</v>
      </c>
      <c r="F85" s="2">
        <v>30.5</v>
      </c>
      <c r="G85" s="2" t="str">
        <f t="shared" si="7"/>
        <v>Obese</v>
      </c>
      <c r="H85" s="3">
        <v>153.14</v>
      </c>
      <c r="I85" s="3" t="str">
        <f t="shared" si="8"/>
        <v>High</v>
      </c>
      <c r="J85" s="2">
        <v>1</v>
      </c>
      <c r="K85" s="2">
        <v>0</v>
      </c>
      <c r="L85" s="2">
        <v>3</v>
      </c>
      <c r="M85" s="2">
        <v>0</v>
      </c>
      <c r="N85" s="2">
        <v>6</v>
      </c>
    </row>
    <row r="86" spans="1:14">
      <c r="A86" s="2">
        <v>50</v>
      </c>
      <c r="B86" s="2" t="str">
        <f t="shared" si="6"/>
        <v>Adult</v>
      </c>
      <c r="C86" s="2">
        <v>262</v>
      </c>
      <c r="D86" s="2">
        <v>119</v>
      </c>
      <c r="E86" s="2">
        <v>185</v>
      </c>
      <c r="F86" s="2">
        <v>31.7</v>
      </c>
      <c r="G86" s="2" t="str">
        <f t="shared" si="7"/>
        <v>Obese</v>
      </c>
      <c r="H86" s="3">
        <v>167.88</v>
      </c>
      <c r="I86" s="3" t="str">
        <f t="shared" si="8"/>
        <v>High</v>
      </c>
      <c r="J86" s="2">
        <v>0</v>
      </c>
      <c r="K86" s="2">
        <v>0</v>
      </c>
      <c r="L86" s="2">
        <v>2</v>
      </c>
      <c r="M86" s="2">
        <v>1</v>
      </c>
      <c r="N86" s="2">
        <v>4</v>
      </c>
    </row>
    <row r="87" spans="1:14">
      <c r="A87" s="2">
        <v>45</v>
      </c>
      <c r="B87" s="2" t="str">
        <f t="shared" si="6"/>
        <v>Adult</v>
      </c>
      <c r="C87" s="2">
        <v>151</v>
      </c>
      <c r="D87" s="2">
        <v>127</v>
      </c>
      <c r="E87" s="2">
        <v>148</v>
      </c>
      <c r="F87" s="2">
        <v>22.8</v>
      </c>
      <c r="G87" s="2" t="str">
        <f t="shared" si="7"/>
        <v>Normal</v>
      </c>
      <c r="H87" s="3">
        <v>119.32</v>
      </c>
      <c r="I87" s="3" t="str">
        <f t="shared" si="8"/>
        <v>High</v>
      </c>
      <c r="J87" s="2">
        <v>0</v>
      </c>
      <c r="K87" s="2">
        <v>0</v>
      </c>
      <c r="L87" s="2">
        <v>9</v>
      </c>
      <c r="M87" s="2">
        <v>0</v>
      </c>
      <c r="N87" s="2">
        <v>3</v>
      </c>
    </row>
    <row r="88" spans="1:14">
      <c r="A88" s="2">
        <v>74</v>
      </c>
      <c r="B88" s="2" t="str">
        <f t="shared" si="6"/>
        <v>Senior Citizen</v>
      </c>
      <c r="C88" s="2">
        <v>279</v>
      </c>
      <c r="D88" s="2">
        <v>140</v>
      </c>
      <c r="E88" s="2">
        <v>151</v>
      </c>
      <c r="F88" s="2">
        <v>21</v>
      </c>
      <c r="G88" s="2" t="str">
        <f t="shared" si="7"/>
        <v>Normal</v>
      </c>
      <c r="H88" s="3">
        <v>215.59</v>
      </c>
      <c r="I88" s="3" t="str">
        <f t="shared" si="8"/>
        <v>High</v>
      </c>
      <c r="J88" s="2">
        <v>1</v>
      </c>
      <c r="K88" s="2">
        <v>1</v>
      </c>
      <c r="L88" s="2">
        <v>2</v>
      </c>
      <c r="M88" s="2">
        <v>1</v>
      </c>
      <c r="N88" s="2">
        <v>7</v>
      </c>
    </row>
    <row r="89" spans="1:14">
      <c r="A89" s="2">
        <v>47</v>
      </c>
      <c r="B89" s="2" t="str">
        <f t="shared" si="6"/>
        <v>Adult</v>
      </c>
      <c r="C89" s="2">
        <v>203</v>
      </c>
      <c r="D89" s="2">
        <v>143</v>
      </c>
      <c r="E89" s="2">
        <v>141</v>
      </c>
      <c r="F89" s="2">
        <v>30.8</v>
      </c>
      <c r="G89" s="2" t="str">
        <f t="shared" si="7"/>
        <v>Obese</v>
      </c>
      <c r="H89" s="3">
        <v>158.42</v>
      </c>
      <c r="I89" s="3" t="str">
        <f t="shared" si="8"/>
        <v>High</v>
      </c>
      <c r="J89" s="2">
        <v>0</v>
      </c>
      <c r="K89" s="2">
        <v>0</v>
      </c>
      <c r="L89" s="2">
        <v>2</v>
      </c>
      <c r="M89" s="2">
        <v>1</v>
      </c>
      <c r="N89" s="2">
        <v>8</v>
      </c>
    </row>
    <row r="90" spans="1:14">
      <c r="A90" s="2">
        <v>76</v>
      </c>
      <c r="B90" s="2" t="str">
        <f t="shared" si="6"/>
        <v>Senior Citizen</v>
      </c>
      <c r="C90" s="2">
        <v>236</v>
      </c>
      <c r="D90" s="2">
        <v>97</v>
      </c>
      <c r="E90" s="2">
        <v>169</v>
      </c>
      <c r="F90" s="2">
        <v>31.7</v>
      </c>
      <c r="G90" s="2" t="str">
        <f t="shared" si="7"/>
        <v>Obese</v>
      </c>
      <c r="H90" s="3">
        <v>145.81</v>
      </c>
      <c r="I90" s="3" t="str">
        <f t="shared" si="8"/>
        <v>High</v>
      </c>
      <c r="J90" s="2">
        <v>1</v>
      </c>
      <c r="K90" s="2">
        <v>0</v>
      </c>
      <c r="L90" s="2">
        <v>3</v>
      </c>
      <c r="M90" s="2">
        <v>1</v>
      </c>
      <c r="N90" s="2">
        <v>4</v>
      </c>
    </row>
    <row r="91" spans="1:14">
      <c r="A91" s="2">
        <v>53</v>
      </c>
      <c r="B91" s="2" t="str">
        <f t="shared" si="6"/>
        <v>Adult</v>
      </c>
      <c r="C91" s="2">
        <v>278</v>
      </c>
      <c r="D91" s="2">
        <v>116</v>
      </c>
      <c r="E91" s="2">
        <v>114</v>
      </c>
      <c r="F91" s="2">
        <v>34.8</v>
      </c>
      <c r="G91" s="2" t="str">
        <f t="shared" si="7"/>
        <v>Obese</v>
      </c>
      <c r="H91" s="3">
        <v>137.53</v>
      </c>
      <c r="I91" s="3" t="str">
        <f t="shared" si="8"/>
        <v>High</v>
      </c>
      <c r="J91" s="2">
        <v>1</v>
      </c>
      <c r="K91" s="2">
        <v>1</v>
      </c>
      <c r="L91" s="2">
        <v>6</v>
      </c>
      <c r="M91" s="2">
        <v>1</v>
      </c>
      <c r="N91" s="2">
        <v>2</v>
      </c>
    </row>
    <row r="92" spans="1:14">
      <c r="A92" s="2">
        <v>55</v>
      </c>
      <c r="B92" s="2" t="str">
        <f t="shared" si="6"/>
        <v>Adult</v>
      </c>
      <c r="C92" s="2">
        <v>296</v>
      </c>
      <c r="D92" s="2">
        <v>116</v>
      </c>
      <c r="E92" s="2">
        <v>153</v>
      </c>
      <c r="F92" s="2">
        <v>25</v>
      </c>
      <c r="G92" s="2" t="str">
        <f t="shared" si="7"/>
        <v>Overweight</v>
      </c>
      <c r="H92" s="3">
        <v>129.74</v>
      </c>
      <c r="I92" s="3" t="str">
        <f t="shared" si="8"/>
        <v>High</v>
      </c>
      <c r="J92" s="2">
        <v>1</v>
      </c>
      <c r="K92" s="2">
        <v>0</v>
      </c>
      <c r="L92" s="2">
        <v>3</v>
      </c>
      <c r="M92" s="2">
        <v>1</v>
      </c>
      <c r="N92" s="2">
        <v>10</v>
      </c>
    </row>
    <row r="93" spans="1:14">
      <c r="A93" s="2">
        <v>54</v>
      </c>
      <c r="B93" s="2" t="str">
        <f t="shared" si="6"/>
        <v>Adult</v>
      </c>
      <c r="C93" s="2">
        <v>275</v>
      </c>
      <c r="D93" s="2">
        <v>110</v>
      </c>
      <c r="E93" s="2">
        <v>159</v>
      </c>
      <c r="F93" s="2">
        <v>24.3</v>
      </c>
      <c r="G93" s="2" t="str">
        <f t="shared" si="7"/>
        <v>Normal</v>
      </c>
      <c r="H93" s="3">
        <v>174.41</v>
      </c>
      <c r="I93" s="3" t="str">
        <f t="shared" si="8"/>
        <v>High</v>
      </c>
      <c r="J93" s="2">
        <v>1</v>
      </c>
      <c r="K93" s="2">
        <v>0</v>
      </c>
      <c r="L93" s="2">
        <v>8</v>
      </c>
      <c r="M93" s="2">
        <v>0</v>
      </c>
      <c r="N93" s="2">
        <v>3</v>
      </c>
    </row>
    <row r="94" spans="1:14">
      <c r="A94" s="2">
        <v>74</v>
      </c>
      <c r="B94" s="2" t="str">
        <f t="shared" si="6"/>
        <v>Senior Citizen</v>
      </c>
      <c r="C94" s="2">
        <v>279</v>
      </c>
      <c r="D94" s="2">
        <v>119</v>
      </c>
      <c r="E94" s="2">
        <v>196</v>
      </c>
      <c r="F94" s="2">
        <v>31.2</v>
      </c>
      <c r="G94" s="2" t="str">
        <f t="shared" si="7"/>
        <v>Obese</v>
      </c>
      <c r="H94" s="3">
        <v>202.96</v>
      </c>
      <c r="I94" s="3" t="str">
        <f t="shared" si="8"/>
        <v>High</v>
      </c>
      <c r="J94" s="2">
        <v>1</v>
      </c>
      <c r="K94" s="2">
        <v>0</v>
      </c>
      <c r="L94" s="2">
        <v>0</v>
      </c>
      <c r="M94" s="2">
        <v>0</v>
      </c>
      <c r="N94" s="2">
        <v>1</v>
      </c>
    </row>
    <row r="95" spans="1:14">
      <c r="A95" s="2">
        <v>70</v>
      </c>
      <c r="B95" s="2" t="str">
        <f t="shared" si="6"/>
        <v>Senior Citizen</v>
      </c>
      <c r="C95" s="2">
        <v>202</v>
      </c>
      <c r="D95" s="2">
        <v>117</v>
      </c>
      <c r="E95" s="2">
        <v>107</v>
      </c>
      <c r="F95" s="2">
        <v>23.8</v>
      </c>
      <c r="G95" s="2" t="str">
        <f t="shared" si="7"/>
        <v>Normal</v>
      </c>
      <c r="H95" s="3">
        <v>191.59</v>
      </c>
      <c r="I95" s="3" t="str">
        <f t="shared" si="8"/>
        <v>High</v>
      </c>
      <c r="J95" s="2">
        <v>1</v>
      </c>
      <c r="K95" s="2">
        <v>0</v>
      </c>
      <c r="L95" s="2">
        <v>7</v>
      </c>
      <c r="M95" s="2">
        <v>1</v>
      </c>
      <c r="N95" s="2">
        <v>8</v>
      </c>
    </row>
    <row r="96" spans="1:14">
      <c r="A96" s="2">
        <v>58</v>
      </c>
      <c r="B96" s="2" t="str">
        <f t="shared" si="6"/>
        <v>Adult</v>
      </c>
      <c r="C96" s="2">
        <v>217</v>
      </c>
      <c r="D96" s="2">
        <v>153</v>
      </c>
      <c r="E96" s="2">
        <v>152</v>
      </c>
      <c r="F96" s="2">
        <v>33.8</v>
      </c>
      <c r="G96" s="2" t="str">
        <f t="shared" si="7"/>
        <v>Obese</v>
      </c>
      <c r="H96" s="3">
        <v>137.91</v>
      </c>
      <c r="I96" s="3" t="str">
        <f t="shared" si="8"/>
        <v>High</v>
      </c>
      <c r="J96" s="2">
        <v>1</v>
      </c>
      <c r="K96" s="2">
        <v>0</v>
      </c>
      <c r="L96" s="2">
        <v>6</v>
      </c>
      <c r="M96" s="2">
        <v>1</v>
      </c>
      <c r="N96" s="2">
        <v>3</v>
      </c>
    </row>
    <row r="97" spans="1:14">
      <c r="A97" s="2">
        <v>44</v>
      </c>
      <c r="B97" s="2" t="str">
        <f t="shared" si="6"/>
        <v>Adult</v>
      </c>
      <c r="C97" s="2">
        <v>272</v>
      </c>
      <c r="D97" s="2">
        <v>158</v>
      </c>
      <c r="E97" s="2">
        <v>159</v>
      </c>
      <c r="F97" s="2">
        <v>32.6</v>
      </c>
      <c r="G97" s="2" t="str">
        <f t="shared" si="7"/>
        <v>Obese</v>
      </c>
      <c r="H97" s="3">
        <v>169.48</v>
      </c>
      <c r="I97" s="3" t="str">
        <f t="shared" si="8"/>
        <v>High</v>
      </c>
      <c r="J97" s="2">
        <v>1</v>
      </c>
      <c r="K97" s="2">
        <v>1</v>
      </c>
      <c r="L97" s="2">
        <v>1</v>
      </c>
      <c r="M97" s="2">
        <v>0</v>
      </c>
      <c r="N97" s="2">
        <v>10</v>
      </c>
    </row>
    <row r="98" spans="1:14">
      <c r="A98" s="2">
        <v>74</v>
      </c>
      <c r="B98" s="2" t="str">
        <f t="shared" ref="B98:B101" si="9">IF(A98&lt;18,"Child",IF(A98&lt;30,"Young Adult",IF(A98&lt;60,"Adult","Senior Citizen")))</f>
        <v>Senior Citizen</v>
      </c>
      <c r="C98" s="2">
        <v>294</v>
      </c>
      <c r="D98" s="2">
        <v>150</v>
      </c>
      <c r="E98" s="2">
        <v>104</v>
      </c>
      <c r="F98" s="2">
        <v>25.3</v>
      </c>
      <c r="G98" s="2" t="str">
        <f t="shared" ref="G98:G101" si="10">IF(F98&lt;18.5,"Underweight",IF(F98&lt;25,"Normal",IF(F98&lt;30,"Overweight","Obese")))</f>
        <v>Overweight</v>
      </c>
      <c r="H98" s="3">
        <v>201.72</v>
      </c>
      <c r="I98" s="3" t="str">
        <f t="shared" ref="I98:I101" si="11">IF(H98&lt;100,"Low",IF(H98&lt;=65,"Medium","High"))</f>
        <v>High</v>
      </c>
      <c r="J98" s="2">
        <v>1</v>
      </c>
      <c r="K98" s="2">
        <v>1</v>
      </c>
      <c r="L98" s="2">
        <v>7</v>
      </c>
      <c r="M98" s="2">
        <v>0</v>
      </c>
      <c r="N98" s="2">
        <v>7</v>
      </c>
    </row>
    <row r="99" spans="1:14">
      <c r="A99" s="2">
        <v>30</v>
      </c>
      <c r="B99" s="2" t="str">
        <f t="shared" si="9"/>
        <v>Adult</v>
      </c>
      <c r="C99" s="2">
        <v>187</v>
      </c>
      <c r="D99" s="2">
        <v>137</v>
      </c>
      <c r="E99" s="2">
        <v>167</v>
      </c>
      <c r="F99" s="2">
        <v>30.8</v>
      </c>
      <c r="G99" s="2" t="str">
        <f t="shared" si="10"/>
        <v>Obese</v>
      </c>
      <c r="H99" s="3">
        <v>192.27</v>
      </c>
      <c r="I99" s="3" t="str">
        <f t="shared" si="11"/>
        <v>High</v>
      </c>
      <c r="J99" s="2">
        <v>1</v>
      </c>
      <c r="K99" s="2">
        <v>1</v>
      </c>
      <c r="L99" s="2">
        <v>0</v>
      </c>
      <c r="M99" s="2">
        <v>1</v>
      </c>
      <c r="N99" s="2">
        <v>10</v>
      </c>
    </row>
    <row r="100" spans="1:14">
      <c r="A100" s="2">
        <v>54</v>
      </c>
      <c r="B100" s="2" t="str">
        <f t="shared" si="9"/>
        <v>Adult</v>
      </c>
      <c r="C100" s="2">
        <v>173</v>
      </c>
      <c r="D100" s="2">
        <v>108</v>
      </c>
      <c r="E100" s="2">
        <v>105</v>
      </c>
      <c r="F100" s="2">
        <v>30.8</v>
      </c>
      <c r="G100" s="2" t="str">
        <f t="shared" si="10"/>
        <v>Obese</v>
      </c>
      <c r="H100" s="3">
        <v>141.05</v>
      </c>
      <c r="I100" s="3" t="str">
        <f t="shared" si="11"/>
        <v>High</v>
      </c>
      <c r="J100" s="2">
        <v>1</v>
      </c>
      <c r="K100" s="2">
        <v>0</v>
      </c>
      <c r="L100" s="2">
        <v>8</v>
      </c>
      <c r="M100" s="2">
        <v>0</v>
      </c>
      <c r="N100" s="2">
        <v>5</v>
      </c>
    </row>
    <row r="101" spans="1:14">
      <c r="A101" s="2">
        <v>36</v>
      </c>
      <c r="B101" s="2" t="str">
        <f t="shared" si="9"/>
        <v>Adult</v>
      </c>
      <c r="C101" s="2">
        <v>218</v>
      </c>
      <c r="D101" s="2">
        <v>93</v>
      </c>
      <c r="E101" s="2">
        <v>195</v>
      </c>
      <c r="F101" s="2">
        <v>19.8</v>
      </c>
      <c r="G101" s="2" t="str">
        <f t="shared" si="10"/>
        <v>Normal</v>
      </c>
      <c r="H101" s="3">
        <v>158.49</v>
      </c>
      <c r="I101" s="3" t="str">
        <f t="shared" si="11"/>
        <v>High</v>
      </c>
      <c r="J101" s="2">
        <v>0</v>
      </c>
      <c r="K101" s="2">
        <v>0</v>
      </c>
      <c r="L101" s="2">
        <v>8</v>
      </c>
      <c r="M101" s="2">
        <v>1</v>
      </c>
      <c r="N101" s="2">
        <v>10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showGridLines="0" tabSelected="1" zoomScale="78" zoomScaleNormal="78" workbookViewId="0">
      <selection activeCell="Z6" sqref="Z6"/>
    </sheetView>
  </sheetViews>
  <sheetFormatPr defaultColWidth="9.14285714285714" defaultRowHeight="15" outlineLevelRow="1"/>
  <sheetData>
    <row r="1" spans="1:25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</sheetData>
  <mergeCells count="1">
    <mergeCell ref="A1:Y2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Data 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</dc:creator>
  <cp:lastModifiedBy>Sayali Mudiraj</cp:lastModifiedBy>
  <dcterms:created xsi:type="dcterms:W3CDTF">2025-10-03T06:06:00Z</dcterms:created>
  <dcterms:modified xsi:type="dcterms:W3CDTF">2026-10-19T13:42:30Z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CalculationRule">
    <vt:i4>0</vt:i4>
  </property>
  <property fmtid="{D5CDD505-2E9C-101B-9397-08002B2CF9AE}" pid="4" name="ICV">
    <vt:lpwstr>91182D18E29B4E56AAD28B53EA6FDC95_12</vt:lpwstr>
  </property>
</Properties>
</file>